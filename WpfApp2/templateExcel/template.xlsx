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bookViews>
    <workbookView xWindow="0" yWindow="0" windowWidth="28800" windowHeight="12336"/>
  </bookViews>
  <sheets>
    <sheet name="BOM ALL" sheetId="8" r:id="rId1"/>
    <sheet name="MISUMI+ TOTRA" sheetId="12" r:id="rId2"/>
    <sheet name="총 비용(Tổng chi phí)" sheetId="13" r:id="rId3"/>
    <sheet name="Sheet1" sheetId="14" r:id="rId4"/>
  </sheets>
  <externalReferences>
    <externalReference r:id="rId5"/>
  </externalReferences>
  <definedNames>
    <definedName name="\C" localSheetId="0">#REF!</definedName>
    <definedName name="\C" localSheetId="1">#REF!</definedName>
    <definedName name="\C" localSheetId="2">#REF!</definedName>
    <definedName name="\C">#REF!</definedName>
    <definedName name="\D" localSheetId="0">#REF!</definedName>
    <definedName name="\D" localSheetId="1">#REF!</definedName>
    <definedName name="\D" localSheetId="2">#REF!</definedName>
    <definedName name="\D">#REF!</definedName>
    <definedName name="\W" localSheetId="0">#REF!</definedName>
    <definedName name="\W" localSheetId="1">#REF!</definedName>
    <definedName name="\W" localSheetId="2">#REF!</definedName>
    <definedName name="\W">#REF!</definedName>
    <definedName name="___" localSheetId="0">#REF!</definedName>
    <definedName name="___" localSheetId="1">#REF!</definedName>
    <definedName name="___" localSheetId="2">#REF!</definedName>
    <definedName name="___">#REF!</definedName>
    <definedName name="______0" localSheetId="0">#REF!</definedName>
    <definedName name="______0" localSheetId="1">#REF!</definedName>
    <definedName name="______0" localSheetId="2">#REF!</definedName>
    <definedName name="______0">#REF!</definedName>
    <definedName name="______0___0" localSheetId="0">#REF!</definedName>
    <definedName name="______0___0" localSheetId="1">#REF!</definedName>
    <definedName name="______0___0" localSheetId="2">#REF!</definedName>
    <definedName name="______0___0">#REF!</definedName>
    <definedName name="__DemandLoad">TRUE</definedName>
    <definedName name="_1" localSheetId="0" hidden="1">#REF!</definedName>
    <definedName name="_1" localSheetId="1" hidden="1">#REF!</definedName>
    <definedName name="_1" localSheetId="2" hidden="1">#REF!</definedName>
    <definedName name="_1" hidden="1">#REF!</definedName>
    <definedName name="_14ei125_" localSheetId="0">#REF!</definedName>
    <definedName name="_14ei125_" localSheetId="1">#REF!</definedName>
    <definedName name="_14ei125_" localSheetId="2">#REF!</definedName>
    <definedName name="_14ei125_">#REF!</definedName>
    <definedName name="_15ff1_" localSheetId="0">#REF!</definedName>
    <definedName name="_15ff1_" localSheetId="1">#REF!</definedName>
    <definedName name="_15ff1_" localSheetId="2">#REF!</definedName>
    <definedName name="_15ff1_">#REF!</definedName>
    <definedName name="_20H1_" localSheetId="0">#REF!</definedName>
    <definedName name="_20H1_" localSheetId="1">#REF!</definedName>
    <definedName name="_20H1_" localSheetId="2">#REF!</definedName>
    <definedName name="_20H1_">#REF!</definedName>
    <definedName name="_25j18_" localSheetId="0">#REF!</definedName>
    <definedName name="_25j18_" localSheetId="1">#REF!</definedName>
    <definedName name="_25j18_" localSheetId="2">#REF!</definedName>
    <definedName name="_25j18_">#REF!</definedName>
    <definedName name="_2DC34_" localSheetId="0">#REF!</definedName>
    <definedName name="_2DC34_" localSheetId="1">#REF!</definedName>
    <definedName name="_2DC34_" localSheetId="2">#REF!</definedName>
    <definedName name="_2DC34_">#REF!</definedName>
    <definedName name="_5_Apr" localSheetId="0">#REF!</definedName>
    <definedName name="_5_Apr" localSheetId="1">#REF!</definedName>
    <definedName name="_5_Apr" localSheetId="2">#REF!</definedName>
    <definedName name="_5_Apr">#REF!</definedName>
    <definedName name="_DAT1" localSheetId="0">#REF!</definedName>
    <definedName name="_DAT1" localSheetId="1">#REF!</definedName>
    <definedName name="_DAT1" localSheetId="2">#REF!</definedName>
    <definedName name="_DAT1">#REF!</definedName>
    <definedName name="_DAT100" localSheetId="0">#REF!</definedName>
    <definedName name="_DAT100" localSheetId="1">#REF!</definedName>
    <definedName name="_DAT100" localSheetId="2">#REF!</definedName>
    <definedName name="_DAT100">#REF!</definedName>
    <definedName name="_DAT101" localSheetId="0">#REF!</definedName>
    <definedName name="_DAT101" localSheetId="1">#REF!</definedName>
    <definedName name="_DAT101" localSheetId="2">#REF!</definedName>
    <definedName name="_DAT101">#REF!</definedName>
    <definedName name="_DAT15" localSheetId="0">#REF!</definedName>
    <definedName name="_DAT15" localSheetId="1">#REF!</definedName>
    <definedName name="_DAT15" localSheetId="2">#REF!</definedName>
    <definedName name="_DAT15">#REF!</definedName>
    <definedName name="_DAT16" localSheetId="0">#REF!</definedName>
    <definedName name="_DAT16" localSheetId="1">#REF!</definedName>
    <definedName name="_DAT16" localSheetId="2">#REF!</definedName>
    <definedName name="_DAT16">#REF!</definedName>
    <definedName name="_DAT17" localSheetId="0">#REF!</definedName>
    <definedName name="_DAT17" localSheetId="1">#REF!</definedName>
    <definedName name="_DAT17" localSheetId="2">#REF!</definedName>
    <definedName name="_DAT17">#REF!</definedName>
    <definedName name="_DAT18" localSheetId="0">#REF!</definedName>
    <definedName name="_DAT18" localSheetId="1">#REF!</definedName>
    <definedName name="_DAT18" localSheetId="2">#REF!</definedName>
    <definedName name="_DAT18">#REF!</definedName>
    <definedName name="_DAT19" localSheetId="0">#REF!</definedName>
    <definedName name="_DAT19" localSheetId="1">#REF!</definedName>
    <definedName name="_DAT19" localSheetId="2">#REF!</definedName>
    <definedName name="_DAT19">#REF!</definedName>
    <definedName name="_DAT2" localSheetId="0">#REF!</definedName>
    <definedName name="_DAT2" localSheetId="1">#REF!</definedName>
    <definedName name="_DAT2" localSheetId="2">#REF!</definedName>
    <definedName name="_DAT2">#REF!</definedName>
    <definedName name="_DAT20" localSheetId="0">#REF!</definedName>
    <definedName name="_DAT20" localSheetId="1">#REF!</definedName>
    <definedName name="_DAT20" localSheetId="2">#REF!</definedName>
    <definedName name="_DAT20">#REF!</definedName>
    <definedName name="_DAT21" localSheetId="0">#REF!</definedName>
    <definedName name="_DAT21" localSheetId="1">#REF!</definedName>
    <definedName name="_DAT21" localSheetId="2">#REF!</definedName>
    <definedName name="_DAT21">#REF!</definedName>
    <definedName name="_DAT22" localSheetId="0">#REF!</definedName>
    <definedName name="_DAT22" localSheetId="1">#REF!</definedName>
    <definedName name="_DAT22" localSheetId="2">#REF!</definedName>
    <definedName name="_DAT22">#REF!</definedName>
    <definedName name="_DAT23" localSheetId="0">#REF!</definedName>
    <definedName name="_DAT23" localSheetId="1">#REF!</definedName>
    <definedName name="_DAT23" localSheetId="2">#REF!</definedName>
    <definedName name="_DAT23">#REF!</definedName>
    <definedName name="_DAT24" localSheetId="0">#REF!</definedName>
    <definedName name="_DAT24" localSheetId="1">#REF!</definedName>
    <definedName name="_DAT24" localSheetId="2">#REF!</definedName>
    <definedName name="_DAT24">#REF!</definedName>
    <definedName name="_DAT25" localSheetId="0">#REF!</definedName>
    <definedName name="_DAT25" localSheetId="1">#REF!</definedName>
    <definedName name="_DAT25" localSheetId="2">#REF!</definedName>
    <definedName name="_DAT25">#REF!</definedName>
    <definedName name="_DAT26" localSheetId="0">#REF!</definedName>
    <definedName name="_DAT26" localSheetId="1">#REF!</definedName>
    <definedName name="_DAT26" localSheetId="2">#REF!</definedName>
    <definedName name="_DAT26">#REF!</definedName>
    <definedName name="_DAT27" localSheetId="0">#REF!</definedName>
    <definedName name="_DAT27" localSheetId="1">#REF!</definedName>
    <definedName name="_DAT27" localSheetId="2">#REF!</definedName>
    <definedName name="_DAT27">#REF!</definedName>
    <definedName name="_DAT28" localSheetId="0">#REF!</definedName>
    <definedName name="_DAT28" localSheetId="1">#REF!</definedName>
    <definedName name="_DAT28" localSheetId="2">#REF!</definedName>
    <definedName name="_DAT28">#REF!</definedName>
    <definedName name="_DAT29" localSheetId="0">#REF!</definedName>
    <definedName name="_DAT29" localSheetId="1">#REF!</definedName>
    <definedName name="_DAT29" localSheetId="2">#REF!</definedName>
    <definedName name="_DAT29">#REF!</definedName>
    <definedName name="_DAT3" localSheetId="0">#REF!</definedName>
    <definedName name="_DAT3" localSheetId="1">#REF!</definedName>
    <definedName name="_DAT3" localSheetId="2">#REF!</definedName>
    <definedName name="_DAT3">#REF!</definedName>
    <definedName name="_DAT30" localSheetId="0">#REF!</definedName>
    <definedName name="_DAT30" localSheetId="1">#REF!</definedName>
    <definedName name="_DAT30" localSheetId="2">#REF!</definedName>
    <definedName name="_DAT30">#REF!</definedName>
    <definedName name="_DAT31" localSheetId="0">#REF!</definedName>
    <definedName name="_DAT31" localSheetId="1">#REF!</definedName>
    <definedName name="_DAT31" localSheetId="2">#REF!</definedName>
    <definedName name="_DAT31">#REF!</definedName>
    <definedName name="_DAT32" localSheetId="0">#REF!</definedName>
    <definedName name="_DAT32" localSheetId="1">#REF!</definedName>
    <definedName name="_DAT32" localSheetId="2">#REF!</definedName>
    <definedName name="_DAT32">#REF!</definedName>
    <definedName name="_DAT33" localSheetId="0">#REF!</definedName>
    <definedName name="_DAT33" localSheetId="1">#REF!</definedName>
    <definedName name="_DAT33" localSheetId="2">#REF!</definedName>
    <definedName name="_DAT33">#REF!</definedName>
    <definedName name="_DAT34" localSheetId="0">#REF!</definedName>
    <definedName name="_DAT34" localSheetId="1">#REF!</definedName>
    <definedName name="_DAT34" localSheetId="2">#REF!</definedName>
    <definedName name="_DAT34">#REF!</definedName>
    <definedName name="_DAT35" localSheetId="0">#REF!</definedName>
    <definedName name="_DAT35" localSheetId="1">#REF!</definedName>
    <definedName name="_DAT35" localSheetId="2">#REF!</definedName>
    <definedName name="_DAT35">#REF!</definedName>
    <definedName name="_DAT36" localSheetId="0">#REF!</definedName>
    <definedName name="_DAT36" localSheetId="1">#REF!</definedName>
    <definedName name="_DAT36" localSheetId="2">#REF!</definedName>
    <definedName name="_DAT36">#REF!</definedName>
    <definedName name="_DAT37" localSheetId="0">#REF!</definedName>
    <definedName name="_DAT37" localSheetId="1">#REF!</definedName>
    <definedName name="_DAT37" localSheetId="2">#REF!</definedName>
    <definedName name="_DAT37">#REF!</definedName>
    <definedName name="_DAT38" localSheetId="0">#REF!</definedName>
    <definedName name="_DAT38" localSheetId="1">#REF!</definedName>
    <definedName name="_DAT38" localSheetId="2">#REF!</definedName>
    <definedName name="_DAT38">#REF!</definedName>
    <definedName name="_DAT39" localSheetId="0">#REF!</definedName>
    <definedName name="_DAT39" localSheetId="1">#REF!</definedName>
    <definedName name="_DAT39" localSheetId="2">#REF!</definedName>
    <definedName name="_DAT39">#REF!</definedName>
    <definedName name="_DAT4" localSheetId="0">#REF!</definedName>
    <definedName name="_DAT4" localSheetId="1">#REF!</definedName>
    <definedName name="_DAT4" localSheetId="2">#REF!</definedName>
    <definedName name="_DAT4">#REF!</definedName>
    <definedName name="_DAT40" localSheetId="0">#REF!</definedName>
    <definedName name="_DAT40" localSheetId="1">#REF!</definedName>
    <definedName name="_DAT40" localSheetId="2">#REF!</definedName>
    <definedName name="_DAT40">#REF!</definedName>
    <definedName name="_DAT41" localSheetId="0">#REF!</definedName>
    <definedName name="_DAT41" localSheetId="1">#REF!</definedName>
    <definedName name="_DAT41" localSheetId="2">#REF!</definedName>
    <definedName name="_DAT41">#REF!</definedName>
    <definedName name="_DAT42" localSheetId="0">#REF!</definedName>
    <definedName name="_DAT42" localSheetId="1">#REF!</definedName>
    <definedName name="_DAT42" localSheetId="2">#REF!</definedName>
    <definedName name="_DAT42">#REF!</definedName>
    <definedName name="_DAT43" localSheetId="0">#REF!</definedName>
    <definedName name="_DAT43" localSheetId="1">#REF!</definedName>
    <definedName name="_DAT43" localSheetId="2">#REF!</definedName>
    <definedName name="_DAT43">#REF!</definedName>
    <definedName name="_DAT44" localSheetId="0">#REF!</definedName>
    <definedName name="_DAT44" localSheetId="1">#REF!</definedName>
    <definedName name="_DAT44" localSheetId="2">#REF!</definedName>
    <definedName name="_DAT44">#REF!</definedName>
    <definedName name="_DAT45" localSheetId="0">#REF!</definedName>
    <definedName name="_DAT45" localSheetId="1">#REF!</definedName>
    <definedName name="_DAT45" localSheetId="2">#REF!</definedName>
    <definedName name="_DAT45">#REF!</definedName>
    <definedName name="_DAT46" localSheetId="0">#REF!</definedName>
    <definedName name="_DAT46" localSheetId="1">#REF!</definedName>
    <definedName name="_DAT46" localSheetId="2">#REF!</definedName>
    <definedName name="_DAT46">#REF!</definedName>
    <definedName name="_DAT61" localSheetId="0">#REF!</definedName>
    <definedName name="_DAT61" localSheetId="1">#REF!</definedName>
    <definedName name="_DAT61" localSheetId="2">#REF!</definedName>
    <definedName name="_DAT61">#REF!</definedName>
    <definedName name="_dta3366" localSheetId="0">#REF!</definedName>
    <definedName name="_dta3366" localSheetId="1">#REF!</definedName>
    <definedName name="_dta3366" localSheetId="2">#REF!</definedName>
    <definedName name="_dta3366">#REF!</definedName>
    <definedName name="_Fill" localSheetId="0" hidden="1">#REF!</definedName>
    <definedName name="_Fill" localSheetId="1" hidden="1">#REF!</definedName>
    <definedName name="_Fill" localSheetId="2" hidden="1">#REF!</definedName>
    <definedName name="_Fill" hidden="1">#REF!</definedName>
    <definedName name="_filter" localSheetId="0">#REF!</definedName>
    <definedName name="_filter" localSheetId="1">#REF!</definedName>
    <definedName name="_filter" localSheetId="2">#REF!</definedName>
    <definedName name="_filter">#REF!</definedName>
    <definedName name="_xlnm._FilterDatabase" localSheetId="0" hidden="1">'BOM ALL'!$A$3:$P$74</definedName>
    <definedName name="_xlnm._FilterDatabase" localSheetId="1" hidden="1">'MISUMI+ TOTRA'!$A$4:$J$10</definedName>
    <definedName name="_xlnm._FilterDatabase" localSheetId="2">#REF!</definedName>
    <definedName name="_xlnm._FilterDatabase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hidden="1">#REF!</definedName>
    <definedName name="_LUT1" localSheetId="0">#REF!</definedName>
    <definedName name="_LUT1" localSheetId="1">#REF!</definedName>
    <definedName name="_LUT1" localSheetId="2">#REF!</definedName>
    <definedName name="_LUT1">#REF!</definedName>
    <definedName name="_Order1" hidden="1">255</definedName>
    <definedName name="_Order2" hidden="1">255</definedName>
    <definedName name="A___54" localSheetId="0">#REF!</definedName>
    <definedName name="A___54" localSheetId="1">#REF!</definedName>
    <definedName name="A___54" localSheetId="2">#REF!</definedName>
    <definedName name="A___54">#REF!</definedName>
    <definedName name="A10n15" localSheetId="0">#REF!</definedName>
    <definedName name="A10n15" localSheetId="1">#REF!</definedName>
    <definedName name="A10n15" localSheetId="2">#REF!</definedName>
    <definedName name="A10n15">#REF!</definedName>
    <definedName name="aac" localSheetId="0">#REF!</definedName>
    <definedName name="aac" localSheetId="1">#REF!</definedName>
    <definedName name="aac" localSheetId="2">#REF!</definedName>
    <definedName name="aac">#REF!</definedName>
    <definedName name="acccode" localSheetId="0">#REF!</definedName>
    <definedName name="acccode" localSheetId="1">#REF!</definedName>
    <definedName name="acccode" localSheetId="2">#REF!</definedName>
    <definedName name="acccode">#REF!</definedName>
    <definedName name="Acer" localSheetId="0">#REF!</definedName>
    <definedName name="Acer" localSheetId="1">#REF!</definedName>
    <definedName name="Acer" localSheetId="2">#REF!</definedName>
    <definedName name="Acer">#REF!</definedName>
    <definedName name="AcerE" localSheetId="0">#REF!</definedName>
    <definedName name="AcerE" localSheetId="1">#REF!</definedName>
    <definedName name="AcerE" localSheetId="2">#REF!</definedName>
    <definedName name="AcerE">#REF!</definedName>
    <definedName name="AddNewIn4" localSheetId="0">#REF!</definedName>
    <definedName name="AddNewIn4" localSheetId="1">#REF!</definedName>
    <definedName name="AddNewIn4" localSheetId="2">#REF!</definedName>
    <definedName name="AddNewIn4">#REF!</definedName>
    <definedName name="AddNewOut4" localSheetId="0">#REF!</definedName>
    <definedName name="AddNewOut4" localSheetId="1">#REF!</definedName>
    <definedName name="AddNewOut4" localSheetId="2">#REF!</definedName>
    <definedName name="AddNewOut4">#REF!</definedName>
    <definedName name="All_Sort" localSheetId="0">#REF!</definedName>
    <definedName name="All_Sort" localSheetId="1">#REF!</definedName>
    <definedName name="All_Sort" localSheetId="2">#REF!</definedName>
    <definedName name="All_Sort">#REF!</definedName>
    <definedName name="AMSR" localSheetId="0">#REF!</definedName>
    <definedName name="AMSR" localSheetId="1">#REF!</definedName>
    <definedName name="AMSR" localSheetId="2">#REF!</definedName>
    <definedName name="AMSR">#REF!</definedName>
    <definedName name="AMSR1" localSheetId="0">#REF!</definedName>
    <definedName name="AMSR1" localSheetId="1">#REF!</definedName>
    <definedName name="AMSR1" localSheetId="2">#REF!</definedName>
    <definedName name="AMSR1">#REF!</definedName>
    <definedName name="arial" localSheetId="0">#REF!</definedName>
    <definedName name="arial" localSheetId="1">#REF!</definedName>
    <definedName name="arial" localSheetId="2">#REF!</definedName>
    <definedName name="arial">#REF!</definedName>
    <definedName name="as" localSheetId="0">#REF!</definedName>
    <definedName name="as" localSheetId="1">#REF!</definedName>
    <definedName name="as" localSheetId="2">#REF!</definedName>
    <definedName name="as">#REF!</definedName>
    <definedName name="ASDFGH" localSheetId="0">#REF!</definedName>
    <definedName name="ASDFGH" localSheetId="1">#REF!</definedName>
    <definedName name="ASDFGH" localSheetId="2">#REF!</definedName>
    <definedName name="ASDFGH">#REF!</definedName>
    <definedName name="Battery" localSheetId="0">#REF!</definedName>
    <definedName name="Battery" localSheetId="1">#REF!</definedName>
    <definedName name="Battery" localSheetId="2">#REF!</definedName>
    <definedName name="Battery">#REF!</definedName>
    <definedName name="BB" localSheetId="0">#REF!</definedName>
    <definedName name="BB" localSheetId="1">#REF!</definedName>
    <definedName name="BB" localSheetId="2">#REF!</definedName>
    <definedName name="BB">#REF!</definedName>
    <definedName name="bbb" localSheetId="0">#REF!</definedName>
    <definedName name="bbb" localSheetId="1">#REF!</definedName>
    <definedName name="bbb" localSheetId="2">#REF!</definedName>
    <definedName name="bbb">#REF!</definedName>
    <definedName name="bgtacc" localSheetId="0">#REF!</definedName>
    <definedName name="bgtacc" localSheetId="1">#REF!</definedName>
    <definedName name="bgtacc" localSheetId="2">#REF!</definedName>
    <definedName name="bgtacc">#REF!</definedName>
    <definedName name="BMBA03A" localSheetId="0">#REF!</definedName>
    <definedName name="BMBA03A" localSheetId="1">#REF!</definedName>
    <definedName name="BMBA03A" localSheetId="2">#REF!</definedName>
    <definedName name="BMBA03A">#REF!</definedName>
    <definedName name="bp" localSheetId="0">#REF!</definedName>
    <definedName name="bp" localSheetId="1">#REF!</definedName>
    <definedName name="bp" localSheetId="2">#REF!</definedName>
    <definedName name="bp">#REF!</definedName>
    <definedName name="bpnov" localSheetId="0">#REF!</definedName>
    <definedName name="bpnov" localSheetId="1">#REF!</definedName>
    <definedName name="bpnov" localSheetId="2">#REF!</definedName>
    <definedName name="bpnov">#REF!</definedName>
    <definedName name="bpoct" localSheetId="0">#REF!</definedName>
    <definedName name="bpoct" localSheetId="1">#REF!</definedName>
    <definedName name="bpoct" localSheetId="2">#REF!</definedName>
    <definedName name="bpoct">#REF!</definedName>
    <definedName name="BuiltIn" localSheetId="0">#REF!</definedName>
    <definedName name="BuiltIn" localSheetId="1">#REF!</definedName>
    <definedName name="BuiltIn" localSheetId="2">#REF!</definedName>
    <definedName name="BuiltIn">#REF!</definedName>
    <definedName name="BuiltIn_AutoFilter___1" localSheetId="0">#REF!</definedName>
    <definedName name="BuiltIn_AutoFilter___1" localSheetId="1">#REF!</definedName>
    <definedName name="BuiltIn_AutoFilter___1" localSheetId="2">#REF!</definedName>
    <definedName name="BuiltIn_AutoFilter___1">#REF!</definedName>
    <definedName name="BuiltIn_AutoFilter___1_1" localSheetId="0">#REF!</definedName>
    <definedName name="BuiltIn_AutoFilter___1_1" localSheetId="1">#REF!</definedName>
    <definedName name="BuiltIn_AutoFilter___1_1" localSheetId="2">#REF!</definedName>
    <definedName name="BuiltIn_AutoFilter___1_1">#REF!</definedName>
    <definedName name="BuiltIn_AutoFilter___1_2" localSheetId="0">#REF!</definedName>
    <definedName name="BuiltIn_AutoFilter___1_2" localSheetId="1">#REF!</definedName>
    <definedName name="BuiltIn_AutoFilter___1_2" localSheetId="2">#REF!</definedName>
    <definedName name="BuiltIn_AutoFilter___1_2">#REF!</definedName>
    <definedName name="BuiltIn_AutoFilter___1_3" localSheetId="0">#REF!</definedName>
    <definedName name="BuiltIn_AutoFilter___1_3" localSheetId="1">#REF!</definedName>
    <definedName name="BuiltIn_AutoFilter___1_3" localSheetId="2">#REF!</definedName>
    <definedName name="BuiltIn_AutoFilter___1_3">#REF!</definedName>
    <definedName name="BuiltIn_AutoFilter___1_4" localSheetId="0">#REF!</definedName>
    <definedName name="BuiltIn_AutoFilter___1_4" localSheetId="1">#REF!</definedName>
    <definedName name="BuiltIn_AutoFilter___1_4" localSheetId="2">#REF!</definedName>
    <definedName name="BuiltIn_AutoFilter___1_4">#REF!</definedName>
    <definedName name="BuiltIn_AutoFilter___2" localSheetId="0">#REF!</definedName>
    <definedName name="BuiltIn_AutoFilter___2" localSheetId="1">#REF!</definedName>
    <definedName name="BuiltIn_AutoFilter___2" localSheetId="2">#REF!</definedName>
    <definedName name="BuiltIn_AutoFilter___2">#REF!</definedName>
    <definedName name="BuiltIn_AutoFilter___2___0" localSheetId="0">#REF!</definedName>
    <definedName name="BuiltIn_AutoFilter___2___0" localSheetId="1">#REF!</definedName>
    <definedName name="BuiltIn_AutoFilter___2___0" localSheetId="2">#REF!</definedName>
    <definedName name="BuiltIn_AutoFilter___2___0">#REF!</definedName>
    <definedName name="BuiltIn_AutoFilter___2_1" localSheetId="0">#REF!</definedName>
    <definedName name="BuiltIn_AutoFilter___2_1" localSheetId="1">#REF!</definedName>
    <definedName name="BuiltIn_AutoFilter___2_1" localSheetId="2">#REF!</definedName>
    <definedName name="BuiltIn_AutoFilter___2_1">#REF!</definedName>
    <definedName name="BuiltIn_AutoFilter___4" localSheetId="0">#REF!</definedName>
    <definedName name="BuiltIn_AutoFilter___4" localSheetId="1">#REF!</definedName>
    <definedName name="BuiltIn_AutoFilter___4" localSheetId="2">#REF!</definedName>
    <definedName name="BuiltIn_AutoFilter___4">#REF!</definedName>
    <definedName name="BuiltIn_AutoFilter___4_1" localSheetId="0">#REF!</definedName>
    <definedName name="BuiltIn_AutoFilter___4_1" localSheetId="1">#REF!</definedName>
    <definedName name="BuiltIn_AutoFilter___4_1" localSheetId="2">#REF!</definedName>
    <definedName name="BuiltIn_AutoFilter___4_1">#REF!</definedName>
    <definedName name="BuiltIn_Database___0" localSheetId="0">#REF!</definedName>
    <definedName name="BuiltIn_Database___0" localSheetId="1">#REF!</definedName>
    <definedName name="BuiltIn_Database___0" localSheetId="2">#REF!</definedName>
    <definedName name="BuiltIn_Database___0">#REF!</definedName>
    <definedName name="BuiltIn_Database___0___0" localSheetId="0">#REF!</definedName>
    <definedName name="BuiltIn_Database___0___0" localSheetId="1">#REF!</definedName>
    <definedName name="BuiltIn_Database___0___0" localSheetId="2">#REF!</definedName>
    <definedName name="BuiltIn_Database___0___0">#REF!</definedName>
    <definedName name="BulitIn_Database___1___2" localSheetId="0">#REF!</definedName>
    <definedName name="BulitIn_Database___1___2" localSheetId="1">#REF!</definedName>
    <definedName name="BulitIn_Database___1___2" localSheetId="2">#REF!</definedName>
    <definedName name="BulitIn_Database___1___2">#REF!</definedName>
    <definedName name="cf" localSheetId="0">#REF!</definedName>
    <definedName name="cf" localSheetId="1">#REF!</definedName>
    <definedName name="cf" localSheetId="2">#REF!</definedName>
    <definedName name="cf">#REF!</definedName>
    <definedName name="Charger" localSheetId="0">#REF!</definedName>
    <definedName name="Charger" localSheetId="1">#REF!</definedName>
    <definedName name="Charger" localSheetId="2">#REF!</definedName>
    <definedName name="Charger">#REF!</definedName>
    <definedName name="code" localSheetId="0">#REF!</definedName>
    <definedName name="code" localSheetId="1">#REF!</definedName>
    <definedName name="code" localSheetId="2">#REF!</definedName>
    <definedName name="code">#REF!</definedName>
    <definedName name="cstcnt" localSheetId="0">#REF!</definedName>
    <definedName name="cstcnt" localSheetId="1">#REF!</definedName>
    <definedName name="cstcnt" localSheetId="2">#REF!</definedName>
    <definedName name="cstcnt">#REF!</definedName>
    <definedName name="Cycle_time_s_set" localSheetId="0">#REF!</definedName>
    <definedName name="Cycle_time_s_set" localSheetId="1">#REF!</definedName>
    <definedName name="Cycle_time_s_set" localSheetId="2">#REF!</definedName>
    <definedName name="Cycle_time_s_set">#REF!</definedName>
    <definedName name="DAED12" localSheetId="0">#REF!</definedName>
    <definedName name="DAED12" localSheetId="1">#REF!</definedName>
    <definedName name="DAED12" localSheetId="2">#REF!</definedName>
    <definedName name="DAED12">#REF!</definedName>
    <definedName name="DAER12" localSheetId="0">#REF!</definedName>
    <definedName name="DAER12" localSheetId="1">#REF!</definedName>
    <definedName name="DAER12" localSheetId="2">#REF!</definedName>
    <definedName name="DAER12">#REF!</definedName>
    <definedName name="dat" localSheetId="0">#REF!</definedName>
    <definedName name="dat" localSheetId="1">#REF!</definedName>
    <definedName name="dat" localSheetId="2">#REF!</definedName>
    <definedName name="dat">#REF!</definedName>
    <definedName name="DAT_1" localSheetId="0">#REF!</definedName>
    <definedName name="DAT_1" localSheetId="1">#REF!</definedName>
    <definedName name="DAT_1" localSheetId="2">#REF!</definedName>
    <definedName name="DAT_1">#REF!</definedName>
    <definedName name="data1" localSheetId="0">#REF!</definedName>
    <definedName name="data1" localSheetId="1">#REF!</definedName>
    <definedName name="data1" localSheetId="2">#REF!</definedName>
    <definedName name="data1">#REF!</definedName>
    <definedName name="data2" localSheetId="0">#REF!</definedName>
    <definedName name="data2" localSheetId="1">#REF!</definedName>
    <definedName name="data2" localSheetId="2">#REF!</definedName>
    <definedName name="data2">#REF!</definedName>
    <definedName name="DATA99" localSheetId="0">#REF!</definedName>
    <definedName name="DATA99" localSheetId="1">#REF!</definedName>
    <definedName name="DATA99" localSheetId="2">#REF!</definedName>
    <definedName name="DATA99">#REF!</definedName>
    <definedName name="Databas" localSheetId="0">#REF!</definedName>
    <definedName name="Databas" localSheetId="1">#REF!</definedName>
    <definedName name="Databas" localSheetId="2">#REF!</definedName>
    <definedName name="Databas">#REF!</definedName>
    <definedName name="_xlnm.Database" localSheetId="0">#REF!</definedName>
    <definedName name="_xlnm.Database" localSheetId="1">#REF!</definedName>
    <definedName name="_xlnm.Database" localSheetId="2">#REF!</definedName>
    <definedName name="_xlnm.Database">#REF!</definedName>
    <definedName name="dbatt" localSheetId="0">#REF!</definedName>
    <definedName name="dbatt" localSheetId="1">#REF!</definedName>
    <definedName name="dbatt" localSheetId="2">#REF!</definedName>
    <definedName name="dbatt">#REF!</definedName>
    <definedName name="dbb" localSheetId="0">#REF!</definedName>
    <definedName name="dbb" localSheetId="1">#REF!</definedName>
    <definedName name="dbb" localSheetId="2">#REF!</definedName>
    <definedName name="dbb">#REF!</definedName>
    <definedName name="dbsp" localSheetId="0">#REF!</definedName>
    <definedName name="dbsp" localSheetId="1">#REF!</definedName>
    <definedName name="dbsp" localSheetId="2">#REF!</definedName>
    <definedName name="dbsp">#REF!</definedName>
    <definedName name="dchrg" localSheetId="0">#REF!</definedName>
    <definedName name="dchrg" localSheetId="1">#REF!</definedName>
    <definedName name="dchrg" localSheetId="2">#REF!</definedName>
    <definedName name="dchrg">#REF!</definedName>
    <definedName name="dcp" localSheetId="0">#REF!</definedName>
    <definedName name="dcp" localSheetId="1">#REF!</definedName>
    <definedName name="dcp" localSheetId="2">#REF!</definedName>
    <definedName name="dcp">#REF!</definedName>
    <definedName name="ddelta" localSheetId="0">#REF!</definedName>
    <definedName name="ddelta" localSheetId="1">#REF!</definedName>
    <definedName name="ddelta" localSheetId="2">#REF!</definedName>
    <definedName name="ddelta">#REF!</definedName>
    <definedName name="DFGGG" localSheetId="0">#REF!</definedName>
    <definedName name="DFGGG" localSheetId="1">#REF!</definedName>
    <definedName name="DFGGG" localSheetId="2">#REF!</definedName>
    <definedName name="DFGGG">#REF!</definedName>
    <definedName name="dgps" localSheetId="0">#REF!</definedName>
    <definedName name="dgps" localSheetId="1">#REF!</definedName>
    <definedName name="dgps" localSheetId="2">#REF!</definedName>
    <definedName name="dgps">#REF!</definedName>
    <definedName name="dhead" localSheetId="0">#REF!</definedName>
    <definedName name="dhead" localSheetId="1">#REF!</definedName>
    <definedName name="dhead" localSheetId="2">#REF!</definedName>
    <definedName name="dhead">#REF!</definedName>
    <definedName name="dmech" localSheetId="0">#REF!</definedName>
    <definedName name="dmech" localSheetId="1">#REF!</definedName>
    <definedName name="dmech" localSheetId="2">#REF!</definedName>
    <definedName name="dmech">#REF!</definedName>
    <definedName name="dpwb" localSheetId="0">#REF!</definedName>
    <definedName name="dpwb" localSheetId="1">#REF!</definedName>
    <definedName name="dpwb" localSheetId="2">#REF!</definedName>
    <definedName name="dpwb">#REF!</definedName>
    <definedName name="drf" localSheetId="0">#REF!</definedName>
    <definedName name="drf" localSheetId="1">#REF!</definedName>
    <definedName name="drf" localSheetId="2">#REF!</definedName>
    <definedName name="drf">#REF!</definedName>
    <definedName name="dsourc" localSheetId="0">#REF!</definedName>
    <definedName name="dsourc" localSheetId="1">#REF!</definedName>
    <definedName name="dsourc" localSheetId="2">#REF!</definedName>
    <definedName name="dsourc">#REF!</definedName>
    <definedName name="dsund" localSheetId="0">#REF!</definedName>
    <definedName name="dsund" localSheetId="1">#REF!</definedName>
    <definedName name="dsund" localSheetId="2">#REF!</definedName>
    <definedName name="dsund">#REF!</definedName>
    <definedName name="dtarget" localSheetId="0">#REF!</definedName>
    <definedName name="dtarget" localSheetId="1">#REF!</definedName>
    <definedName name="dtarget" localSheetId="2">#REF!</definedName>
    <definedName name="dtarget">#REF!</definedName>
    <definedName name="dtrcvr" localSheetId="0">#REF!</definedName>
    <definedName name="dtrcvr" localSheetId="1">#REF!</definedName>
    <definedName name="dtrcvr" localSheetId="2">#REF!</definedName>
    <definedName name="dtrcvr">#REF!</definedName>
    <definedName name="dui" localSheetId="0">#REF!</definedName>
    <definedName name="dui" localSheetId="1">#REF!</definedName>
    <definedName name="dui" localSheetId="2">#REF!</definedName>
    <definedName name="dui">#REF!</definedName>
    <definedName name="ebatt" localSheetId="0">#REF!</definedName>
    <definedName name="ebatt" localSheetId="1">#REF!</definedName>
    <definedName name="ebatt" localSheetId="2">#REF!</definedName>
    <definedName name="ebatt">#REF!</definedName>
    <definedName name="Ebb" localSheetId="0">#REF!</definedName>
    <definedName name="Ebb" localSheetId="1">#REF!</definedName>
    <definedName name="Ebb" localSheetId="2">#REF!</definedName>
    <definedName name="Ebb">#REF!</definedName>
    <definedName name="ebsp" localSheetId="0">#REF!</definedName>
    <definedName name="ebsp" localSheetId="1">#REF!</definedName>
    <definedName name="ebsp" localSheetId="2">#REF!</definedName>
    <definedName name="ebsp">#REF!</definedName>
    <definedName name="echarg" localSheetId="0">#REF!</definedName>
    <definedName name="echarg" localSheetId="1">#REF!</definedName>
    <definedName name="echarg" localSheetId="2">#REF!</definedName>
    <definedName name="echarg">#REF!</definedName>
    <definedName name="Egps" localSheetId="0">#REF!</definedName>
    <definedName name="Egps" localSheetId="1">#REF!</definedName>
    <definedName name="Egps" localSheetId="2">#REF!</definedName>
    <definedName name="Egps">#REF!</definedName>
    <definedName name="ehead" localSheetId="0">#REF!</definedName>
    <definedName name="ehead" localSheetId="1">#REF!</definedName>
    <definedName name="ehead" localSheetId="2">#REF!</definedName>
    <definedName name="ehead">#REF!</definedName>
    <definedName name="elta" localSheetId="0">#REF!</definedName>
    <definedName name="elta" localSheetId="1">#REF!</definedName>
    <definedName name="elta" localSheetId="2">#REF!</definedName>
    <definedName name="elta">#REF!</definedName>
    <definedName name="emech" localSheetId="0">#REF!</definedName>
    <definedName name="emech" localSheetId="1">#REF!</definedName>
    <definedName name="emech" localSheetId="2">#REF!</definedName>
    <definedName name="emech">#REF!</definedName>
    <definedName name="epwb" localSheetId="0">#REF!</definedName>
    <definedName name="epwb" localSheetId="1">#REF!</definedName>
    <definedName name="epwb" localSheetId="2">#REF!</definedName>
    <definedName name="epwb">#REF!</definedName>
    <definedName name="Erf" localSheetId="0">#REF!</definedName>
    <definedName name="Erf" localSheetId="1">#REF!</definedName>
    <definedName name="Erf" localSheetId="2">#REF!</definedName>
    <definedName name="Erf">#REF!</definedName>
    <definedName name="esourc" localSheetId="0">#REF!</definedName>
    <definedName name="esourc" localSheetId="1">#REF!</definedName>
    <definedName name="esourc" localSheetId="2">#REF!</definedName>
    <definedName name="esourc">#REF!</definedName>
    <definedName name="esund" localSheetId="0">#REF!</definedName>
    <definedName name="esund" localSheetId="1">#REF!</definedName>
    <definedName name="esund" localSheetId="2">#REF!</definedName>
    <definedName name="esund">#REF!</definedName>
    <definedName name="ETA" localSheetId="0">#REF!</definedName>
    <definedName name="ETA" localSheetId="1">#REF!</definedName>
    <definedName name="ETA" localSheetId="2">#REF!</definedName>
    <definedName name="ETA">#REF!</definedName>
    <definedName name="ETA_COMMON" localSheetId="0">#REF!</definedName>
    <definedName name="ETA_COMMON" localSheetId="1">#REF!</definedName>
    <definedName name="ETA_COMMON" localSheetId="2">#REF!</definedName>
    <definedName name="ETA_COMMON">#REF!</definedName>
    <definedName name="ETA_Int" localSheetId="0">#REF!</definedName>
    <definedName name="ETA_Int" localSheetId="1">#REF!</definedName>
    <definedName name="ETA_Int" localSheetId="2">#REF!</definedName>
    <definedName name="ETA_Int">#REF!</definedName>
    <definedName name="ETA_Int_COMMON" localSheetId="0">#REF!</definedName>
    <definedName name="ETA_Int_COMMON" localSheetId="1">#REF!</definedName>
    <definedName name="ETA_Int_COMMON" localSheetId="2">#REF!</definedName>
    <definedName name="ETA_Int_COMMON">#REF!</definedName>
    <definedName name="etarget" localSheetId="0">#REF!</definedName>
    <definedName name="etarget" localSheetId="1">#REF!</definedName>
    <definedName name="etarget" localSheetId="2">#REF!</definedName>
    <definedName name="etarget">#REF!</definedName>
    <definedName name="ETD" localSheetId="0">#REF!</definedName>
    <definedName name="ETD" localSheetId="1">#REF!</definedName>
    <definedName name="ETD" localSheetId="2">#REF!</definedName>
    <definedName name="ETD">#REF!</definedName>
    <definedName name="ETD_COMMON" localSheetId="0">#REF!</definedName>
    <definedName name="ETD_COMMON" localSheetId="1">#REF!</definedName>
    <definedName name="ETD_COMMON" localSheetId="2">#REF!</definedName>
    <definedName name="ETD_COMMON">#REF!</definedName>
    <definedName name="ETD_Int" localSheetId="0">#REF!</definedName>
    <definedName name="ETD_Int" localSheetId="1">#REF!</definedName>
    <definedName name="ETD_Int" localSheetId="2">#REF!</definedName>
    <definedName name="ETD_Int">#REF!</definedName>
    <definedName name="etrcvr" localSheetId="0">#REF!</definedName>
    <definedName name="etrcvr" localSheetId="1">#REF!</definedName>
    <definedName name="etrcvr" localSheetId="2">#REF!</definedName>
    <definedName name="etrcvr">#REF!</definedName>
    <definedName name="eui" localSheetId="0">#REF!</definedName>
    <definedName name="eui" localSheetId="1">#REF!</definedName>
    <definedName name="eui" localSheetId="2">#REF!</definedName>
    <definedName name="eui">#REF!</definedName>
    <definedName name="eurochart" localSheetId="0">#REF!</definedName>
    <definedName name="eurochart" localSheetId="1">#REF!</definedName>
    <definedName name="eurochart" localSheetId="2">#REF!</definedName>
    <definedName name="eurochart">#REF!</definedName>
    <definedName name="EX" localSheetId="0">#REF!</definedName>
    <definedName name="EX" localSheetId="1">#REF!</definedName>
    <definedName name="EX" localSheetId="2">#REF!</definedName>
    <definedName name="EX">#REF!</definedName>
    <definedName name="February" localSheetId="0">#REF!</definedName>
    <definedName name="February" localSheetId="1">#REF!</definedName>
    <definedName name="February" localSheetId="2">#REF!</definedName>
    <definedName name="February">#REF!</definedName>
    <definedName name="fjf" localSheetId="0">#REF!</definedName>
    <definedName name="fjf" localSheetId="1">#REF!</definedName>
    <definedName name="fjf" localSheetId="2">#REF!</definedName>
    <definedName name="fjf">#REF!</definedName>
    <definedName name="FO" localSheetId="0">#REF!</definedName>
    <definedName name="FO" localSheetId="1">#REF!</definedName>
    <definedName name="FO" localSheetId="2">#REF!</definedName>
    <definedName name="FO">#REF!</definedName>
    <definedName name="frozenIdle" localSheetId="0">#REF!</definedName>
    <definedName name="frozenIdle" localSheetId="1">#REF!</definedName>
    <definedName name="frozenIdle" localSheetId="2">#REF!</definedName>
    <definedName name="frozenIdle">#REF!</definedName>
    <definedName name="GF___4" localSheetId="0">#REF!</definedName>
    <definedName name="GF___4" localSheetId="1">#REF!</definedName>
    <definedName name="GF___4" localSheetId="2">#REF!</definedName>
    <definedName name="GF___4">#REF!</definedName>
    <definedName name="ghghghhghgtytytytytyty" localSheetId="0">#REF!</definedName>
    <definedName name="ghghghhghgtytytytytyty" localSheetId="1">#REF!</definedName>
    <definedName name="ghghghhghgtytytytytyty" localSheetId="2">#REF!</definedName>
    <definedName name="ghghghhghgtytytytytyty">#REF!</definedName>
    <definedName name="GMR" localSheetId="0">#REF!</definedName>
    <definedName name="GMR" localSheetId="1">#REF!</definedName>
    <definedName name="GMR" localSheetId="2">#REF!</definedName>
    <definedName name="GMR">#REF!</definedName>
    <definedName name="goal" localSheetId="0">#REF!</definedName>
    <definedName name="goal" localSheetId="1">#REF!</definedName>
    <definedName name="goal" localSheetId="2">#REF!</definedName>
    <definedName name="goal">#REF!</definedName>
    <definedName name="GP" localSheetId="0">#REF!</definedName>
    <definedName name="GP" localSheetId="1">#REF!</definedName>
    <definedName name="GP" localSheetId="2">#REF!</definedName>
    <definedName name="GP">#REF!</definedName>
    <definedName name="GPS" localSheetId="0">#REF!</definedName>
    <definedName name="GPS" localSheetId="1">#REF!</definedName>
    <definedName name="GPS" localSheetId="2">#REF!</definedName>
    <definedName name="GPS">#REF!</definedName>
    <definedName name="GTREQW" localSheetId="0">#REF!</definedName>
    <definedName name="GTREQW" localSheetId="1">#REF!</definedName>
    <definedName name="GTREQW" localSheetId="2">#REF!</definedName>
    <definedName name="GTREQW">#REF!</definedName>
    <definedName name="GU01_LA" localSheetId="0">#REF!</definedName>
    <definedName name="GU01_LA" localSheetId="1">#REF!</definedName>
    <definedName name="GU01_LA" localSheetId="2">#REF!</definedName>
    <definedName name="GU01_LA">#REF!</definedName>
    <definedName name="H" localSheetId="0">#REF!</definedName>
    <definedName name="H" localSheetId="1">#REF!</definedName>
    <definedName name="H" localSheetId="2">#REF!</definedName>
    <definedName name="H">#REF!</definedName>
    <definedName name="headset" localSheetId="0">#REF!</definedName>
    <definedName name="headset" localSheetId="1">#REF!</definedName>
    <definedName name="headset" localSheetId="2">#REF!</definedName>
    <definedName name="headset">#REF!</definedName>
    <definedName name="HTML_CodePage" hidden="1">1252</definedName>
    <definedName name="HTML_Control" localSheetId="0" hidden="1">{"'T&amp;C'!$A$1:$B$35","'Utility Requiments-Footprint'!$A$1:$E$92","'UP2000 Conf'!$A$1:$F$311","'Quote Summary'!$B$1:$D$43","'Features-Config'!$A$1:$D$99","'quocvrpge'!$A$1:$J$42"}</definedName>
    <definedName name="HTML_Control" localSheetId="1" hidden="1">{"'T&amp;C'!$A$1:$B$35","'Utility Requiments-Footprint'!$A$1:$E$92","'UP2000 Conf'!$A$1:$F$311","'Quote Summary'!$B$1:$D$43","'Features-Config'!$A$1:$D$99","'quocvrpge'!$A$1:$J$42"}</definedName>
    <definedName name="HTML_Control" localSheetId="2" hidden="1">{"'T&amp;C'!$A$1:$B$35","'Utility Requiments-Footprint'!$A$1:$E$92","'UP2000 Conf'!$A$1:$F$311","'Quote Summary'!$B$1:$D$43","'Features-Config'!$A$1:$D$99","'quocvrpge'!$A$1:$J$42"}</definedName>
    <definedName name="HTML_Control" hidden="1">{"'T&amp;C'!$A$1:$B$35","'Utility Requiments-Footprint'!$A$1:$E$92","'UP2000 Conf'!$A$1:$F$311","'Quote Summary'!$B$1:$D$43","'Features-Config'!$A$1:$D$99","'quocvrpge'!$A$1:$J$42"}</definedName>
    <definedName name="HTML_Description" hidden="1">""</definedName>
    <definedName name="HTML_Email" hidden="1">""</definedName>
    <definedName name="HTML_Header" hidden="1">""</definedName>
    <definedName name="HTML_LastUpdate" hidden="1">"10/2/01"</definedName>
    <definedName name="HTML_LineAfter" hidden="1">FALSE</definedName>
    <definedName name="HTML_LineBefore" hidden="1">FALSE</definedName>
    <definedName name="HTML_Name" hidden="1">"Matthew D. Engle"</definedName>
    <definedName name="HTML_OBDlg2" hidden="1">TRUE</definedName>
    <definedName name="HTML_OBDlg4" hidden="1">TRUE</definedName>
    <definedName name="HTML_OS" hidden="1">0</definedName>
    <definedName name="HTML_PathFile" hidden="1">"C:\WINDOWS\Profiles\mengle\My Documents\UP2000.htm"</definedName>
    <definedName name="HTML_Title" hidden="1">"UP2quote"</definedName>
    <definedName name="IPQC" localSheetId="0">#REF!</definedName>
    <definedName name="IPQC" localSheetId="1">#REF!</definedName>
    <definedName name="IPQC" localSheetId="2">#REF!</definedName>
    <definedName name="IPQC">#REF!</definedName>
    <definedName name="J" localSheetId="0">#REF!</definedName>
    <definedName name="J" localSheetId="1">#REF!</definedName>
    <definedName name="J" localSheetId="2">#REF!</definedName>
    <definedName name="J">#REF!</definedName>
    <definedName name="J20H029" localSheetId="0">#REF!</definedName>
    <definedName name="J20H029" localSheetId="1">#REF!</definedName>
    <definedName name="J20H029" localSheetId="2">#REF!</definedName>
    <definedName name="J20H029">#REF!</definedName>
    <definedName name="January" localSheetId="0">#REF!</definedName>
    <definedName name="January" localSheetId="1">#REF!</definedName>
    <definedName name="January" localSheetId="2">#REF!</definedName>
    <definedName name="January">#REF!</definedName>
    <definedName name="L002S" localSheetId="0">#REF!</definedName>
    <definedName name="L002S" localSheetId="1">#REF!</definedName>
    <definedName name="L002S" localSheetId="2">#REF!</definedName>
    <definedName name="L002S">#REF!</definedName>
    <definedName name="LG" localSheetId="0">#REF!</definedName>
    <definedName name="LG" localSheetId="1">#REF!</definedName>
    <definedName name="LG" localSheetId="2">#REF!</definedName>
    <definedName name="LG">#REF!</definedName>
    <definedName name="LGE" localSheetId="0">#REF!</definedName>
    <definedName name="LGE" localSheetId="1">#REF!</definedName>
    <definedName name="LGE" localSheetId="2">#REF!</definedName>
    <definedName name="LGE">#REF!</definedName>
    <definedName name="Linecost" localSheetId="0">#REF!</definedName>
    <definedName name="Linecost" localSheetId="1">#REF!</definedName>
    <definedName name="Linecost" localSheetId="2">#REF!</definedName>
    <definedName name="Linecost">#REF!</definedName>
    <definedName name="LIU" localSheetId="0" hidden="1">#REF!</definedName>
    <definedName name="LIU" localSheetId="1" hidden="1">#REF!</definedName>
    <definedName name="LIU" localSheetId="2" hidden="1">#REF!</definedName>
    <definedName name="LIU" hidden="1">#REF!</definedName>
    <definedName name="Mechanics" localSheetId="0">#REF!</definedName>
    <definedName name="Mechanics" localSheetId="1">#REF!</definedName>
    <definedName name="Mechanics" localSheetId="2">#REF!</definedName>
    <definedName name="Mechanics">#REF!</definedName>
    <definedName name="NAME" localSheetId="0">#REF!</definedName>
    <definedName name="NAME" localSheetId="1">#REF!</definedName>
    <definedName name="NAME" localSheetId="2">#REF!</definedName>
    <definedName name="NAME">#REF!</definedName>
    <definedName name="oliver" localSheetId="0">#REF!</definedName>
    <definedName name="oliver" localSheetId="1">#REF!</definedName>
    <definedName name="oliver" localSheetId="2">#REF!</definedName>
    <definedName name="oliver">#REF!</definedName>
    <definedName name="opjopjip" localSheetId="0">#REF!</definedName>
    <definedName name="opjopjip" localSheetId="1">#REF!</definedName>
    <definedName name="opjopjip" localSheetId="2">#REF!</definedName>
    <definedName name="opjopjip">#REF!</definedName>
    <definedName name="P" localSheetId="0">#REF!</definedName>
    <definedName name="P" localSheetId="1">#REF!</definedName>
    <definedName name="P" localSheetId="2">#REF!</definedName>
    <definedName name="P">#REF!</definedName>
    <definedName name="P___0" localSheetId="0">#REF!</definedName>
    <definedName name="P___0" localSheetId="1">#REF!</definedName>
    <definedName name="P___0" localSheetId="2">#REF!</definedName>
    <definedName name="P___0">#REF!</definedName>
    <definedName name="P___1" localSheetId="0">#REF!</definedName>
    <definedName name="P___1" localSheetId="1">#REF!</definedName>
    <definedName name="P___1" localSheetId="2">#REF!</definedName>
    <definedName name="P___1">#REF!</definedName>
    <definedName name="P___2" localSheetId="0">#REF!</definedName>
    <definedName name="P___2" localSheetId="1">#REF!</definedName>
    <definedName name="P___2" localSheetId="2">#REF!</definedName>
    <definedName name="P___2">#REF!</definedName>
    <definedName name="P___3" localSheetId="0">#REF!</definedName>
    <definedName name="P___3" localSheetId="1">#REF!</definedName>
    <definedName name="P___3" localSheetId="2">#REF!</definedName>
    <definedName name="P___3">#REF!</definedName>
    <definedName name="P___5" localSheetId="0">#REF!</definedName>
    <definedName name="P___5" localSheetId="1">#REF!</definedName>
    <definedName name="P___5" localSheetId="2">#REF!</definedName>
    <definedName name="P___5">#REF!</definedName>
    <definedName name="P___584" localSheetId="0">#REF!</definedName>
    <definedName name="P___584" localSheetId="1">#REF!</definedName>
    <definedName name="P___584" localSheetId="2">#REF!</definedName>
    <definedName name="P___584">#REF!</definedName>
    <definedName name="P___65" localSheetId="0">#REF!</definedName>
    <definedName name="P___65" localSheetId="1">#REF!</definedName>
    <definedName name="P___65" localSheetId="2">#REF!</definedName>
    <definedName name="P___65">#REF!</definedName>
    <definedName name="p___8" localSheetId="0">#REF!</definedName>
    <definedName name="p___8" localSheetId="1">#REF!</definedName>
    <definedName name="p___8" localSheetId="2">#REF!</definedName>
    <definedName name="p___8">#REF!</definedName>
    <definedName name="pbadata" localSheetId="0">#REF!</definedName>
    <definedName name="pbadata" localSheetId="1">#REF!</definedName>
    <definedName name="pbadata" localSheetId="2">#REF!</definedName>
    <definedName name="pbadata">#REF!</definedName>
    <definedName name="plan" localSheetId="0">#REF!</definedName>
    <definedName name="plan" localSheetId="1">#REF!</definedName>
    <definedName name="plan" localSheetId="2">#REF!</definedName>
    <definedName name="plan">#REF!</definedName>
    <definedName name="po" localSheetId="0">#REF!</definedName>
    <definedName name="po" localSheetId="1">#REF!</definedName>
    <definedName name="po" localSheetId="2">#REF!</definedName>
    <definedName name="po">#REF!</definedName>
    <definedName name="PricingTable" localSheetId="0">#REF!</definedName>
    <definedName name="PricingTable" localSheetId="1">#REF!</definedName>
    <definedName name="PricingTable" localSheetId="2">#REF!</definedName>
    <definedName name="PricingTable">#REF!</definedName>
    <definedName name="PricingTable2" localSheetId="0">#REF!</definedName>
    <definedName name="PricingTable2" localSheetId="1">#REF!</definedName>
    <definedName name="PricingTable2" localSheetId="2">#REF!</definedName>
    <definedName name="PricingTable2">#REF!</definedName>
    <definedName name="_xlnm.Print_Area" localSheetId="0">#REF!</definedName>
    <definedName name="_xlnm.Print_Area" localSheetId="1">#REF!</definedName>
    <definedName name="_xlnm.Print_Area" localSheetId="2">#REF!</definedName>
    <definedName name="_xlnm.Print_Area">#REF!</definedName>
    <definedName name="_xlnm.Print_Titles" localSheetId="0">#REF!</definedName>
    <definedName name="_xlnm.Print_Titles" localSheetId="1">#REF!</definedName>
    <definedName name="_xlnm.Print_Titles" localSheetId="2">#REF!</definedName>
    <definedName name="_xlnm.Print_Titles">#REF!</definedName>
    <definedName name="PTHSTD" localSheetId="0">#REF!</definedName>
    <definedName name="PTHSTD" localSheetId="1">#REF!</definedName>
    <definedName name="PTHSTD" localSheetId="2">#REF!</definedName>
    <definedName name="PTHSTD">#REF!</definedName>
    <definedName name="PWB" localSheetId="0">#REF!</definedName>
    <definedName name="PWB" localSheetId="1">#REF!</definedName>
    <definedName name="PWB" localSheetId="2">#REF!</definedName>
    <definedName name="PWB">#REF!</definedName>
    <definedName name="Q" localSheetId="0">#REF!</definedName>
    <definedName name="Q" localSheetId="1">#REF!</definedName>
    <definedName name="Q" localSheetId="2">#REF!</definedName>
    <definedName name="Q">#REF!</definedName>
    <definedName name="q4tg" localSheetId="0">#REF!</definedName>
    <definedName name="q4tg" localSheetId="1">#REF!</definedName>
    <definedName name="q4tg" localSheetId="2">#REF!</definedName>
    <definedName name="q4tg">#REF!</definedName>
    <definedName name="QC" localSheetId="0">#REF!</definedName>
    <definedName name="QC" localSheetId="1">#REF!</definedName>
    <definedName name="QC" localSheetId="2">#REF!</definedName>
    <definedName name="QC">#REF!</definedName>
    <definedName name="_xlnm.Recorder" localSheetId="0">#REF!</definedName>
    <definedName name="_xlnm.Recorder" localSheetId="1">#REF!</definedName>
    <definedName name="_xlnm.Recorder" localSheetId="2">#REF!</definedName>
    <definedName name="_xlnm.Recorder">#REF!</definedName>
    <definedName name="report" localSheetId="0">#REF!</definedName>
    <definedName name="report" localSheetId="1">#REF!</definedName>
    <definedName name="report" localSheetId="2">#REF!</definedName>
    <definedName name="report">#REF!</definedName>
    <definedName name="rf" localSheetId="0">#REF!</definedName>
    <definedName name="rf" localSheetId="1">#REF!</definedName>
    <definedName name="rf" localSheetId="2">#REF!</definedName>
    <definedName name="rf">#REF!</definedName>
    <definedName name="sales" localSheetId="0">#REF!</definedName>
    <definedName name="sales" localSheetId="1">#REF!</definedName>
    <definedName name="sales" localSheetId="2">#REF!</definedName>
    <definedName name="sales">#REF!</definedName>
    <definedName name="sd" localSheetId="0">#REF!</definedName>
    <definedName name="sd" localSheetId="1">#REF!</definedName>
    <definedName name="sd" localSheetId="2">#REF!</definedName>
    <definedName name="sd">#REF!</definedName>
    <definedName name="SEC" localSheetId="0">#REF!</definedName>
    <definedName name="SEC" localSheetId="1">#REF!</definedName>
    <definedName name="SEC" localSheetId="2">#REF!</definedName>
    <definedName name="SEC">#REF!</definedName>
    <definedName name="SECE" localSheetId="0">#REF!</definedName>
    <definedName name="SECE" localSheetId="1">#REF!</definedName>
    <definedName name="SECE" localSheetId="2">#REF!</definedName>
    <definedName name="SECE">#REF!</definedName>
    <definedName name="shirley" localSheetId="0">#REF!</definedName>
    <definedName name="shirley" localSheetId="1">#REF!</definedName>
    <definedName name="shirley" localSheetId="2">#REF!</definedName>
    <definedName name="shirley">#REF!</definedName>
    <definedName name="SISTD" localSheetId="0">#REF!</definedName>
    <definedName name="SISTD" localSheetId="1">#REF!</definedName>
    <definedName name="SISTD" localSheetId="2">#REF!</definedName>
    <definedName name="SISTD">#REF!</definedName>
    <definedName name="SortArea" localSheetId="0">#REF!</definedName>
    <definedName name="SortArea" localSheetId="1">#REF!</definedName>
    <definedName name="SortArea" localSheetId="2">#REF!</definedName>
    <definedName name="SortArea">#REF!</definedName>
    <definedName name="Status" localSheetId="0">#REF!</definedName>
    <definedName name="Status" localSheetId="1">#REF!</definedName>
    <definedName name="Status" localSheetId="2">#REF!</definedName>
    <definedName name="Status">#REF!</definedName>
    <definedName name="Sundries" localSheetId="0">#REF!</definedName>
    <definedName name="Sundries" localSheetId="1">#REF!</definedName>
    <definedName name="Sundries" localSheetId="2">#REF!</definedName>
    <definedName name="Sundries">#REF!</definedName>
    <definedName name="sxdpe" localSheetId="2">#REF!</definedName>
    <definedName name="sxdpe">#REF!</definedName>
    <definedName name="T0p2target" localSheetId="0">#REF!</definedName>
    <definedName name="T0p2target" localSheetId="1">#REF!</definedName>
    <definedName name="T0p2target" localSheetId="2">#REF!</definedName>
    <definedName name="T0p2target">#REF!</definedName>
    <definedName name="T0target" localSheetId="0">#REF!</definedName>
    <definedName name="T0target" localSheetId="1">#REF!</definedName>
    <definedName name="T0target" localSheetId="2">#REF!</definedName>
    <definedName name="T0target">#REF!</definedName>
    <definedName name="T1DATA" localSheetId="0">#REF!</definedName>
    <definedName name="T1DATA" localSheetId="1">#REF!</definedName>
    <definedName name="T1DATA" localSheetId="2">#REF!</definedName>
    <definedName name="T1DATA">#REF!</definedName>
    <definedName name="T1target" localSheetId="0">#REF!</definedName>
    <definedName name="T1target" localSheetId="1">#REF!</definedName>
    <definedName name="T1target" localSheetId="2">#REF!</definedName>
    <definedName name="T1target">#REF!</definedName>
    <definedName name="TaxTV">10%</definedName>
    <definedName name="TaxXL">5%</definedName>
    <definedName name="Tb_week_Prod_Sup" localSheetId="0">#REF!</definedName>
    <definedName name="Tb_week_Prod_Sup" localSheetId="1">#REF!</definedName>
    <definedName name="Tb_week_Prod_Sup" localSheetId="2">#REF!</definedName>
    <definedName name="Tb_week_Prod_Sup">#REF!</definedName>
    <definedName name="TC_07" localSheetId="0">#REF!</definedName>
    <definedName name="TC_07" localSheetId="1">#REF!</definedName>
    <definedName name="TC_07" localSheetId="2">#REF!</definedName>
    <definedName name="TC_07">#REF!</definedName>
    <definedName name="ten" localSheetId="0">#REF!</definedName>
    <definedName name="ten" localSheetId="1">#REF!</definedName>
    <definedName name="ten" localSheetId="2">#REF!</definedName>
    <definedName name="ten">#REF!</definedName>
    <definedName name="TEST0" localSheetId="0">#REF!</definedName>
    <definedName name="TEST0" localSheetId="1">#REF!</definedName>
    <definedName name="TEST0" localSheetId="2">#REF!</definedName>
    <definedName name="TEST0">#REF!</definedName>
    <definedName name="TEST5" localSheetId="0">#REF!</definedName>
    <definedName name="TEST5" localSheetId="1">#REF!</definedName>
    <definedName name="TEST5" localSheetId="2">#REF!</definedName>
    <definedName name="TEST5">#REF!</definedName>
    <definedName name="TESTHKEY" localSheetId="0">#REF!</definedName>
    <definedName name="TESTHKEY" localSheetId="1">#REF!</definedName>
    <definedName name="TESTHKEY" localSheetId="2">#REF!</definedName>
    <definedName name="TESTHKEY">#REF!</definedName>
    <definedName name="TESTKEYS" localSheetId="0">#REF!</definedName>
    <definedName name="TESTKEYS" localSheetId="1">#REF!</definedName>
    <definedName name="TESTKEYS" localSheetId="2">#REF!</definedName>
    <definedName name="TESTKEYS">#REF!</definedName>
    <definedName name="TESTVKEY" localSheetId="0">#REF!</definedName>
    <definedName name="TESTVKEY" localSheetId="1">#REF!</definedName>
    <definedName name="TESTVKEY" localSheetId="2">#REF!</definedName>
    <definedName name="TESTVKEY">#REF!</definedName>
    <definedName name="ThisIdle" localSheetId="0">#REF!</definedName>
    <definedName name="ThisIdle" localSheetId="1">#REF!</definedName>
    <definedName name="ThisIdle" localSheetId="2">#REF!</definedName>
    <definedName name="ThisIdle">#REF!</definedName>
    <definedName name="tooling" localSheetId="0">#REF!</definedName>
    <definedName name="tooling" localSheetId="1">#REF!</definedName>
    <definedName name="tooling" localSheetId="2">#REF!</definedName>
    <definedName name="tooling">#REF!</definedName>
    <definedName name="tooling___0" localSheetId="0">#REF!</definedName>
    <definedName name="tooling___0" localSheetId="1">#REF!</definedName>
    <definedName name="tooling___0" localSheetId="2">#REF!</definedName>
    <definedName name="tooling___0">#REF!</definedName>
    <definedName name="tooling___1" localSheetId="0">#REF!</definedName>
    <definedName name="tooling___1" localSheetId="1">#REF!</definedName>
    <definedName name="tooling___1" localSheetId="2">#REF!</definedName>
    <definedName name="tooling___1">#REF!</definedName>
    <definedName name="tooling___2" localSheetId="0">#REF!</definedName>
    <definedName name="tooling___2" localSheetId="1">#REF!</definedName>
    <definedName name="tooling___2" localSheetId="2">#REF!</definedName>
    <definedName name="tooling___2">#REF!</definedName>
    <definedName name="tooling___3" localSheetId="0">#REF!</definedName>
    <definedName name="tooling___3" localSheetId="1">#REF!</definedName>
    <definedName name="tooling___3" localSheetId="2">#REF!</definedName>
    <definedName name="tooling___3">#REF!</definedName>
    <definedName name="tooling___4" localSheetId="0">#REF!</definedName>
    <definedName name="tooling___4" localSheetId="1">#REF!</definedName>
    <definedName name="tooling___4" localSheetId="2">#REF!</definedName>
    <definedName name="tooling___4">#REF!</definedName>
    <definedName name="tooling___5" localSheetId="0">#REF!</definedName>
    <definedName name="tooling___5" localSheetId="1">#REF!</definedName>
    <definedName name="tooling___5" localSheetId="2">#REF!</definedName>
    <definedName name="tooling___5">#REF!</definedName>
    <definedName name="toolingjk" localSheetId="0">#REF!</definedName>
    <definedName name="toolingjk" localSheetId="1">#REF!</definedName>
    <definedName name="toolingjk" localSheetId="2">#REF!</definedName>
    <definedName name="toolingjk">#REF!</definedName>
    <definedName name="travelF" localSheetId="0">#REF!</definedName>
    <definedName name="travelF" localSheetId="1">#REF!</definedName>
    <definedName name="travelF" localSheetId="2">#REF!</definedName>
    <definedName name="travelF">#REF!</definedName>
    <definedName name="UI" localSheetId="0">#REF!</definedName>
    <definedName name="UI" localSheetId="1">#REF!</definedName>
    <definedName name="UI" localSheetId="2">#REF!</definedName>
    <definedName name="UI">#REF!</definedName>
    <definedName name="uip" localSheetId="0">#REF!</definedName>
    <definedName name="uip" localSheetId="1">#REF!</definedName>
    <definedName name="uip" localSheetId="2">#REF!</definedName>
    <definedName name="uip">#REF!</definedName>
    <definedName name="unit_price" localSheetId="0">#REF!</definedName>
    <definedName name="unit_price" localSheetId="1">#REF!</definedName>
    <definedName name="unit_price" localSheetId="2">#REF!</definedName>
    <definedName name="unit_price">#REF!</definedName>
    <definedName name="USDchart" localSheetId="0">#REF!</definedName>
    <definedName name="USDchart" localSheetId="1">#REF!</definedName>
    <definedName name="USDchart" localSheetId="2">#REF!</definedName>
    <definedName name="USDchart">#REF!</definedName>
    <definedName name="ValidBOMRange" localSheetId="0">#REF!</definedName>
    <definedName name="ValidBOMRange" localSheetId="1">#REF!</definedName>
    <definedName name="ValidBOMRange" localSheetId="2">#REF!</definedName>
    <definedName name="ValidBOMRange">#REF!</definedName>
    <definedName name="vfb" localSheetId="0">#REF!</definedName>
    <definedName name="vfb" localSheetId="1">#REF!</definedName>
    <definedName name="vfb" localSheetId="2">#REF!</definedName>
    <definedName name="vfb">#REF!</definedName>
    <definedName name="VS" localSheetId="0">#REF!</definedName>
    <definedName name="VS" localSheetId="1">#REF!</definedName>
    <definedName name="VS" localSheetId="2">#REF!</definedName>
    <definedName name="VS">#REF!</definedName>
    <definedName name="VSCE" localSheetId="0">#REF!</definedName>
    <definedName name="VSCE" localSheetId="1">#REF!</definedName>
    <definedName name="VSCE" localSheetId="2">#REF!</definedName>
    <definedName name="VSCE">#REF!</definedName>
    <definedName name="W" localSheetId="0">#REF!</definedName>
    <definedName name="W" localSheetId="1">#REF!</definedName>
    <definedName name="W" localSheetId="2">#REF!</definedName>
    <definedName name="W">#REF!</definedName>
    <definedName name="WE" localSheetId="0">#REF!</definedName>
    <definedName name="WE" localSheetId="1">#REF!</definedName>
    <definedName name="WE" localSheetId="2">#REF!</definedName>
    <definedName name="WE">#REF!</definedName>
    <definedName name="week1" localSheetId="0">#REF!</definedName>
    <definedName name="week1" localSheetId="1">#REF!</definedName>
    <definedName name="week1" localSheetId="2">#REF!</definedName>
    <definedName name="week1">#REF!</definedName>
    <definedName name="week10" localSheetId="0">#REF!</definedName>
    <definedName name="week10" localSheetId="1">#REF!</definedName>
    <definedName name="week10" localSheetId="2">#REF!</definedName>
    <definedName name="week10">#REF!</definedName>
    <definedName name="week11" localSheetId="0">#REF!</definedName>
    <definedName name="week11" localSheetId="1">#REF!</definedName>
    <definedName name="week11" localSheetId="2">#REF!</definedName>
    <definedName name="week11">#REF!</definedName>
    <definedName name="week12" localSheetId="0">#REF!</definedName>
    <definedName name="week12" localSheetId="1">#REF!</definedName>
    <definedName name="week12" localSheetId="2">#REF!</definedName>
    <definedName name="week12">#REF!</definedName>
    <definedName name="week2" localSheetId="0">#REF!</definedName>
    <definedName name="week2" localSheetId="1">#REF!</definedName>
    <definedName name="week2" localSheetId="2">#REF!</definedName>
    <definedName name="week2">#REF!</definedName>
    <definedName name="week3" localSheetId="0">#REF!</definedName>
    <definedName name="week3" localSheetId="1">#REF!</definedName>
    <definedName name="week3" localSheetId="2">#REF!</definedName>
    <definedName name="week3">#REF!</definedName>
    <definedName name="week4" localSheetId="0">#REF!</definedName>
    <definedName name="week4" localSheetId="1">#REF!</definedName>
    <definedName name="week4" localSheetId="2">#REF!</definedName>
    <definedName name="week4">#REF!</definedName>
    <definedName name="week5" localSheetId="0">#REF!</definedName>
    <definedName name="week5" localSheetId="1">#REF!</definedName>
    <definedName name="week5" localSheetId="2">#REF!</definedName>
    <definedName name="week5">#REF!</definedName>
    <definedName name="week5A" localSheetId="0">#REF!</definedName>
    <definedName name="week5A" localSheetId="1">#REF!</definedName>
    <definedName name="week5A" localSheetId="2">#REF!</definedName>
    <definedName name="week5A">#REF!</definedName>
    <definedName name="week5b" localSheetId="0">#REF!</definedName>
    <definedName name="week5b" localSheetId="1">#REF!</definedName>
    <definedName name="week5b" localSheetId="2">#REF!</definedName>
    <definedName name="week5b">#REF!</definedName>
    <definedName name="week6" localSheetId="0">#REF!</definedName>
    <definedName name="week6" localSheetId="1">#REF!</definedName>
    <definedName name="week6" localSheetId="2">#REF!</definedName>
    <definedName name="week6">#REF!</definedName>
    <definedName name="week7" localSheetId="0">#REF!</definedName>
    <definedName name="week7" localSheetId="1">#REF!</definedName>
    <definedName name="week7" localSheetId="2">#REF!</definedName>
    <definedName name="week7">#REF!</definedName>
    <definedName name="week8" localSheetId="0">#REF!</definedName>
    <definedName name="week8" localSheetId="1">#REF!</definedName>
    <definedName name="week8" localSheetId="2">#REF!</definedName>
    <definedName name="week8">#REF!</definedName>
    <definedName name="week9a" localSheetId="0">#REF!</definedName>
    <definedName name="week9a" localSheetId="1">#REF!</definedName>
    <definedName name="week9a" localSheetId="2">#REF!</definedName>
    <definedName name="week9a">#REF!</definedName>
    <definedName name="week9b" localSheetId="0">#REF!</definedName>
    <definedName name="week9b" localSheetId="1">#REF!</definedName>
    <definedName name="week9b" localSheetId="2">#REF!</definedName>
    <definedName name="week9b">#REF!</definedName>
    <definedName name="wl" localSheetId="0">#REF!</definedName>
    <definedName name="wl" localSheetId="1">#REF!</definedName>
    <definedName name="wl" localSheetId="2">#REF!</definedName>
    <definedName name="wl">#REF!</definedName>
    <definedName name="wp" localSheetId="0">#REF!</definedName>
    <definedName name="wp" localSheetId="1">#REF!</definedName>
    <definedName name="wp" localSheetId="2">#REF!</definedName>
    <definedName name="wp">#REF!</definedName>
    <definedName name="wtg" localSheetId="0">#REF!</definedName>
    <definedName name="wtg" localSheetId="1">#REF!</definedName>
    <definedName name="wtg" localSheetId="2">#REF!</definedName>
    <definedName name="wtg">#REF!</definedName>
    <definedName name="wtgq4channel" localSheetId="0">#REF!</definedName>
    <definedName name="wtgq4channel" localSheetId="1">#REF!</definedName>
    <definedName name="wtgq4channel" localSheetId="2">#REF!</definedName>
    <definedName name="wtgq4channel">#REF!</definedName>
    <definedName name="xcc" localSheetId="0">#REF!</definedName>
    <definedName name="xcc" localSheetId="1">#REF!</definedName>
    <definedName name="xcc" localSheetId="2">#REF!</definedName>
    <definedName name="xcc">#REF!</definedName>
    <definedName name="znc0509" localSheetId="0">#REF!</definedName>
    <definedName name="znc0509" localSheetId="1">#REF!</definedName>
    <definedName name="znc0509" localSheetId="2">#REF!</definedName>
    <definedName name="znc0509">#REF!</definedName>
    <definedName name="모델등급" localSheetId="2">#REF!</definedName>
    <definedName name="모델등급">#REF!</definedName>
    <definedName name="ㅇㅀ" localSheetId="2">#REF!</definedName>
    <definedName name="ㅇㅀ">#REF!</definedName>
    <definedName name="판정">[1]FMEA!$AR$1:$AT$1</definedName>
    <definedName name="全" localSheetId="0">#REF!</definedName>
    <definedName name="全" localSheetId="1">#REF!</definedName>
    <definedName name="全" localSheetId="2">#REF!</definedName>
    <definedName name="全">#REF!</definedName>
    <definedName name="全技員_Line_technican" localSheetId="0">#REF!</definedName>
    <definedName name="全技員_Line_technican" localSheetId="1">#REF!</definedName>
    <definedName name="全技員_Line_technican" localSheetId="2">#REF!</definedName>
    <definedName name="全技員_Line_technican">#REF!</definedName>
    <definedName name="單台總工時_秒__Total_work_time_per_product" localSheetId="0">#REF!</definedName>
    <definedName name="單台總工時_秒__Total_work_time_per_product" localSheetId="1">#REF!</definedName>
    <definedName name="單台總工時_秒__Total_work_time_per_product" localSheetId="2">#REF!</definedName>
    <definedName name="單台總工時_秒__Total_work_time_per_product">#REF!</definedName>
    <definedName name="單班小時產能_sets_hr" localSheetId="0">#REF!</definedName>
    <definedName name="單班小時產能_sets_hr" localSheetId="1">#REF!</definedName>
    <definedName name="單班小時產能_sets_hr" localSheetId="2">#REF!</definedName>
    <definedName name="單班小時產能_sets_hr">#REF!</definedName>
    <definedName name="單班月產能_sets_Mon" localSheetId="0">#REF!</definedName>
    <definedName name="單班月產能_sets_Mon" localSheetId="1">#REF!</definedName>
    <definedName name="單班月產能_sets_Mon" localSheetId="2">#REF!</definedName>
    <definedName name="單班月產能_sets_Mon">#REF!</definedName>
    <definedName name="單班直接作業人數_Manpower_per_shift" localSheetId="0">#REF!</definedName>
    <definedName name="單班直接作業人數_Manpower_per_shift" localSheetId="1">#REF!</definedName>
    <definedName name="單班直接作業人數_Manpower_per_shift" localSheetId="2">#REF!</definedName>
    <definedName name="單班直接作業人數_Manpower_per_shift">#REF!</definedName>
    <definedName name="單班總人數_Total_manpower_per_shift" localSheetId="0">#REF!</definedName>
    <definedName name="單班總人數_Total_manpower_per_shift" localSheetId="1">#REF!</definedName>
    <definedName name="單班總人數_Total_manpower_per_shift" localSheetId="2">#REF!</definedName>
    <definedName name="單班總人數_Total_manpower_per_shift">#REF!</definedName>
    <definedName name="暗暗" localSheetId="0">#REF!</definedName>
    <definedName name="暗暗" localSheetId="1">#REF!</definedName>
    <definedName name="暗暗" localSheetId="2">#REF!</definedName>
    <definedName name="暗暗">#REF!</definedName>
    <definedName name="更名" localSheetId="0">#REF!</definedName>
    <definedName name="更名" localSheetId="1">#REF!</definedName>
    <definedName name="更名" localSheetId="2">#REF!</definedName>
    <definedName name="更名">#REF!</definedName>
    <definedName name="更名2" localSheetId="0">#REF!</definedName>
    <definedName name="更名2" localSheetId="1">#REF!</definedName>
    <definedName name="更名2" localSheetId="2">#REF!</definedName>
    <definedName name="更名2">#REF!</definedName>
    <definedName name="未命名" localSheetId="0">#REF!</definedName>
    <definedName name="未命名" localSheetId="1">#REF!</definedName>
    <definedName name="未命名" localSheetId="2">#REF!</definedName>
    <definedName name="未命名">#REF!</definedName>
    <definedName name="查詢Employee" localSheetId="0">#REF!</definedName>
    <definedName name="查詢Employee" localSheetId="1">#REF!</definedName>
    <definedName name="查詢Employee" localSheetId="2">#REF!</definedName>
    <definedName name="查詢Employee">#REF!</definedName>
    <definedName name="查詢補發扣檔" localSheetId="0">#REF!</definedName>
    <definedName name="查詢補發扣檔" localSheetId="1">#REF!</definedName>
    <definedName name="查詢補發扣檔" localSheetId="2">#REF!</definedName>
    <definedName name="查詢補發扣檔">#REF!</definedName>
    <definedName name="楊烈" localSheetId="0">#REF!</definedName>
    <definedName name="楊烈" localSheetId="1">#REF!</definedName>
    <definedName name="楊烈" localSheetId="2">#REF!</definedName>
    <definedName name="楊烈">#REF!</definedName>
    <definedName name="物流_Material_handle" localSheetId="0">#REF!</definedName>
    <definedName name="物流_Material_handle" localSheetId="1">#REF!</definedName>
    <definedName name="物流_Material_handle" localSheetId="2">#REF!</definedName>
    <definedName name="物流_Material_handle">#REF!</definedName>
    <definedName name="生產力_set_Hr_person" localSheetId="0">#REF!</definedName>
    <definedName name="生產力_set_Hr_person" localSheetId="1">#REF!</definedName>
    <definedName name="生產力_set_Hr_person" localSheetId="2">#REF!</definedName>
    <definedName name="生產力_set_Hr_person">#REF!</definedName>
    <definedName name="稼動率_Efficiency" localSheetId="0">#REF!</definedName>
    <definedName name="稼動率_Efficiency" localSheetId="1">#REF!</definedName>
    <definedName name="稼動率_Efficiency" localSheetId="2">#REF!</definedName>
    <definedName name="稼動率_Efficiency">#REF!</definedName>
    <definedName name="管理損益用" localSheetId="0">#REF!</definedName>
    <definedName name="管理損益用" localSheetId="1">#REF!</definedName>
    <definedName name="管理損益用" localSheetId="2">#REF!</definedName>
    <definedName name="管理損益用">#REF!</definedName>
    <definedName name="線長_Line_supervisor" localSheetId="0">#REF!</definedName>
    <definedName name="線長_Line_supervisor" localSheetId="1">#REF!</definedName>
    <definedName name="線長_Line_supervisor" localSheetId="2">#REF!</definedName>
    <definedName name="線長_Line_supervisor">#REF!</definedName>
    <definedName name="總計" localSheetId="0">#REF!</definedName>
    <definedName name="總計" localSheetId="1">#REF!</definedName>
    <definedName name="總計" localSheetId="2">#REF!</definedName>
    <definedName name="總計">#REF!</definedName>
    <definedName name="解雄偉" localSheetId="0">#REF!</definedName>
    <definedName name="解雄偉" localSheetId="1">#REF!</definedName>
    <definedName name="解雄偉" localSheetId="2">#REF!</definedName>
    <definedName name="解雄偉">#REF!</definedName>
    <definedName name="陽烈1" localSheetId="0">#REF!</definedName>
    <definedName name="陽烈1" localSheetId="1">#REF!</definedName>
    <definedName name="陽烈1" localSheetId="2">#REF!</definedName>
    <definedName name="陽烈1">#REF!</definedName>
    <definedName name="集團匯率" localSheetId="0">#REF!</definedName>
    <definedName name="集團匯率" localSheetId="1">#REF!</definedName>
    <definedName name="集團匯率" localSheetId="2">#REF!</definedName>
    <definedName name="集團匯率">#REF!</definedName>
    <definedName name="集團目標" localSheetId="0">#REF!</definedName>
    <definedName name="集團目標" localSheetId="1">#REF!</definedName>
    <definedName name="集團目標" localSheetId="2">#REF!</definedName>
    <definedName name="集團目標">#REF!</definedName>
    <definedName name="預算curr" localSheetId="0">#REF!</definedName>
    <definedName name="預算curr" localSheetId="1">#REF!</definedName>
    <definedName name="預算curr" localSheetId="2">#REF!</definedName>
    <definedName name="預算curr">#REF!</definedName>
  </definedNames>
  <calcPr calcId="162913"/>
</workbook>
</file>

<file path=xl/calcChain.xml><?xml version="1.0" encoding="utf-8"?>
<calcChain xmlns="http://schemas.openxmlformats.org/spreadsheetml/2006/main">
  <c r="G15" i="13" l="1"/>
  <c r="G9" i="13"/>
  <c r="G10" i="14" l="1"/>
  <c r="G8" i="14"/>
  <c r="G5" i="14"/>
  <c r="F11" i="14"/>
  <c r="E11" i="14"/>
  <c r="F10" i="14"/>
  <c r="E10" i="14"/>
  <c r="E16" i="13" l="1"/>
  <c r="G12" i="13"/>
  <c r="E15" i="13"/>
  <c r="F16" i="13" l="1"/>
  <c r="F15" i="13"/>
  <c r="D15" i="13" l="1"/>
  <c r="H5" i="12" l="1"/>
  <c r="H8" i="12" l="1"/>
  <c r="H7" i="12" l="1"/>
  <c r="H6" i="12"/>
  <c r="H9" i="12" s="1"/>
  <c r="H10" i="12" l="1"/>
</calcChain>
</file>

<file path=xl/sharedStrings.xml><?xml version="1.0" encoding="utf-8"?>
<sst xmlns="http://schemas.openxmlformats.org/spreadsheetml/2006/main" count="100" uniqueCount="74">
  <si>
    <t xml:space="preserve">STT
</t>
  </si>
  <si>
    <t>Tên hàng 
제품명</t>
  </si>
  <si>
    <t>Nhãn hiệu 
브랜드</t>
  </si>
  <si>
    <t xml:space="preserve">Chức năng, quy cách
기능,규격
</t>
  </si>
  <si>
    <t>Hình ảnh
사진</t>
  </si>
  <si>
    <t>Nhà cung ứng
공급업체</t>
  </si>
  <si>
    <t>Ghi chú
비고</t>
  </si>
  <si>
    <t>Misumi</t>
  </si>
  <si>
    <t>Cable Carriers Electrical
(Máng Cáp Đi Dây Điện)</t>
  </si>
  <si>
    <t>Tổng dự toán
(INVESTMENT COSTS)</t>
  </si>
  <si>
    <r>
      <t>Số l</t>
    </r>
    <r>
      <rPr>
        <b/>
        <sz val="16"/>
        <color theme="1"/>
        <rFont val="Cambria"/>
        <family val="1"/>
        <scheme val="major"/>
      </rPr>
      <t>ư</t>
    </r>
    <r>
      <rPr>
        <b/>
        <sz val="16"/>
        <color theme="1"/>
        <rFont val="Cambria"/>
        <family val="2"/>
        <scheme val="major"/>
      </rPr>
      <t>ợng cần cho 1 máy 
1대에 필요 수량</t>
    </r>
  </si>
  <si>
    <t>Pisco</t>
  </si>
  <si>
    <t>Project name: OPAL GATE CUTTING &amp; PRESS BENDING AUTO MACHINE</t>
  </si>
  <si>
    <r>
      <rPr>
        <b/>
        <sz val="24"/>
        <color theme="1"/>
        <rFont val="Times New Roman"/>
        <family val="1"/>
      </rPr>
      <t>Station: B-EJECTION</t>
    </r>
    <r>
      <rPr>
        <sz val="24"/>
        <color theme="1"/>
        <rFont val="Times New Roman"/>
        <family val="1"/>
      </rPr>
      <t xml:space="preserve">
</t>
    </r>
    <r>
      <rPr>
        <b/>
        <sz val="24"/>
        <color theme="1"/>
        <rFont val="Times New Roman"/>
        <family val="1"/>
      </rPr>
      <t>Model: OPAL</t>
    </r>
    <r>
      <rPr>
        <sz val="24"/>
        <color theme="1"/>
        <rFont val="Times New Roman"/>
        <family val="1"/>
      </rPr>
      <t xml:space="preserve">
</t>
    </r>
    <r>
      <rPr>
        <b/>
        <sz val="18"/>
        <color indexed="8"/>
        <rFont val="Times New Roman"/>
        <family val="1"/>
      </rPr>
      <t/>
    </r>
  </si>
  <si>
    <t>BOM OF OPAL GATE CUTTING &amp; PRESS BENDING AUTO MACHINE</t>
  </si>
  <si>
    <t>C-MPU20-40-38-27</t>
  </si>
  <si>
    <t>C-MPD32-50-60-48</t>
  </si>
  <si>
    <t>차 설비 
(VND)
단가</t>
  </si>
  <si>
    <t>차 설비
(VND)
총 금액</t>
  </si>
  <si>
    <t>WR8-30</t>
  </si>
  <si>
    <t>Sprigs</t>
  </si>
  <si>
    <t xml:space="preserve">
차 설비 
(VND)
단가</t>
  </si>
  <si>
    <t xml:space="preserve">
차 설비
(VND)
총 금액</t>
  </si>
  <si>
    <t>BOM OF NX5 BRACKET BENDING</t>
  </si>
  <si>
    <t>HTPC</t>
  </si>
  <si>
    <t>LONG VĨ</t>
  </si>
  <si>
    <t>Single Axis Robots
(Robot đơn trục)</t>
  </si>
  <si>
    <t>PHMS120-S-1000-S40-H-E2</t>
  </si>
  <si>
    <t>TOTRA</t>
  </si>
  <si>
    <t>구분</t>
    <phoneticPr fontId="0" type="noConversion"/>
  </si>
  <si>
    <t>업체</t>
    <phoneticPr fontId="0" type="noConversion"/>
  </si>
  <si>
    <t>TOTAL</t>
    <phoneticPr fontId="0" type="noConversion"/>
  </si>
  <si>
    <t>구매 부품수</t>
    <phoneticPr fontId="0" type="noConversion"/>
  </si>
  <si>
    <t>BEFORE</t>
  </si>
  <si>
    <t>NEGO</t>
  </si>
  <si>
    <t>납기일</t>
  </si>
  <si>
    <t>전장제어</t>
    <phoneticPr fontId="0" type="noConversion"/>
  </si>
  <si>
    <t>P&amp;R</t>
    <phoneticPr fontId="0" type="noConversion"/>
  </si>
  <si>
    <t>로봇 구동품</t>
    <phoneticPr fontId="0" type="noConversion"/>
  </si>
  <si>
    <t>MISUMI</t>
  </si>
  <si>
    <t>로봇</t>
  </si>
  <si>
    <t>EPSON ROBOT</t>
  </si>
  <si>
    <t>Vision</t>
  </si>
  <si>
    <t>HIK</t>
  </si>
  <si>
    <t>CNI</t>
  </si>
  <si>
    <t>SEENTECH</t>
  </si>
  <si>
    <t>동화</t>
    <phoneticPr fontId="0" type="noConversion"/>
  </si>
  <si>
    <t>원화</t>
    <phoneticPr fontId="0" type="noConversion"/>
  </si>
  <si>
    <t>ATLANTA</t>
  </si>
  <si>
    <t>NX5 BRACKET BENDING ( MC-4MODEL)</t>
  </si>
  <si>
    <r>
      <t xml:space="preserve">NX5 </t>
    </r>
    <r>
      <rPr>
        <sz val="16"/>
        <color rgb="FF000000"/>
        <rFont val="Arial"/>
        <family val="2"/>
      </rPr>
      <t>밴딩 자동화 설비</t>
    </r>
    <r>
      <rPr>
        <sz val="16"/>
        <color rgb="FF000000"/>
        <rFont val="맑은 고딕"/>
      </rPr>
      <t>_4</t>
    </r>
    <r>
      <rPr>
        <sz val="16"/>
        <color rgb="FF000000"/>
        <rFont val="Arial"/>
        <family val="2"/>
      </rPr>
      <t>종</t>
    </r>
    <r>
      <rPr>
        <sz val="16"/>
        <color rgb="FF000000"/>
        <rFont val="맑은 고딕"/>
      </rPr>
      <t>(1</t>
    </r>
    <r>
      <rPr>
        <sz val="16"/>
        <color rgb="FF000000"/>
        <rFont val="Arial"/>
        <family val="2"/>
      </rPr>
      <t>대</t>
    </r>
    <r>
      <rPr>
        <sz val="16"/>
        <color rgb="FF000000"/>
        <rFont val="맑은 고딕"/>
      </rPr>
      <t>) </t>
    </r>
  </si>
  <si>
    <t>구분</t>
  </si>
  <si>
    <t>업체</t>
  </si>
  <si>
    <t>TOTAL</t>
  </si>
  <si>
    <t>구매 부품수</t>
  </si>
  <si>
    <r>
      <t>1</t>
    </r>
    <r>
      <rPr>
        <sz val="11"/>
        <color rgb="FF000000"/>
        <rFont val="Arial"/>
        <family val="2"/>
      </rPr>
      <t>차 견적</t>
    </r>
  </si>
  <si>
    <t>최종 견적</t>
  </si>
  <si>
    <t>네고율</t>
  </si>
  <si>
    <t>비고</t>
  </si>
  <si>
    <t>전장제어</t>
  </si>
  <si>
    <t>LONG VI</t>
  </si>
  <si>
    <t>231EA</t>
  </si>
  <si>
    <t>로봇 구동품</t>
  </si>
  <si>
    <t>22EA</t>
  </si>
  <si>
    <t>-</t>
  </si>
  <si>
    <t>1EA</t>
  </si>
  <si>
    <r>
      <t>기타</t>
    </r>
    <r>
      <rPr>
        <sz val="11"/>
        <color rgb="FF000000"/>
        <rFont val="맑은 고딕"/>
      </rPr>
      <t>(</t>
    </r>
    <r>
      <rPr>
        <sz val="11"/>
        <color rgb="FF000000"/>
        <rFont val="Arial"/>
        <family val="2"/>
      </rPr>
      <t>가공품</t>
    </r>
    <r>
      <rPr>
        <sz val="11"/>
        <color rgb="FF000000"/>
        <rFont val="맑은 고딕"/>
      </rPr>
      <t>)</t>
    </r>
  </si>
  <si>
    <t>66EA</t>
  </si>
  <si>
    <t>신규 업체 비딩</t>
  </si>
  <si>
    <r>
      <t xml:space="preserve">Nego </t>
    </r>
    <r>
      <rPr>
        <sz val="11"/>
        <color rgb="FF000000"/>
        <rFont val="Arial"/>
        <family val="2"/>
      </rPr>
      <t>진행</t>
    </r>
  </si>
  <si>
    <t>총 금액</t>
  </si>
  <si>
    <t>동화</t>
  </si>
  <si>
    <t>320EA</t>
  </si>
  <si>
    <t>원화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</si>
</sst>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3" formatCode="_(* #,##0.00_);_(* \(#,##0.00\);_(* &quot;-&quot;??_);_(@_)"/>
    <numFmt numFmtId="164" formatCode="_-* #,##0_-;\-* #,##0_-;_-* &quot;-&quot;_-;_-@_-"/>
    <numFmt numFmtId="165" formatCode="&quot;US$&quot;#,##0_);[Red]\(&quot;US$&quot;#,##0\)"/>
    <numFmt numFmtId="166" formatCode="#,###&quot;EA&quot;"/>
    <numFmt numFmtId="167" formatCode="_-* #,##0\ [$₫-42A]_-;\-* #,##0\ [$₫-42A]_-;_-* &quot;-&quot;\ [$₫-42A]_-;_-@_-"/>
    <numFmt numFmtId="168" formatCode="_-* #,##0.00\ [$₫-42A]_-;\-* #,##0.00\ [$₫-42A]_-;_-* &quot;-&quot;??\ [$₫-42A]_-;_-@_-"/>
    <numFmt numFmtId="169" formatCode="#,###\ &quot;원&quot;"/>
    <numFmt numFmtId="170" formatCode="0.0%"/>
  </numFmts>
  <fonts count="31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sz val="14"/>
      <color theme="1"/>
      <name val="Times New Roman"/>
      <family val="1"/>
    </font>
    <font>
      <b/>
      <sz val="24"/>
      <color theme="1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sz val="24"/>
      <color theme="1"/>
      <name val="Times New Roman"/>
      <family val="1"/>
    </font>
    <font>
      <b/>
      <sz val="18"/>
      <color indexed="8"/>
      <name val="Times New Roman"/>
      <family val="1"/>
    </font>
    <font>
      <sz val="12"/>
      <name val="宋体"/>
      <charset val="136"/>
    </font>
    <font>
      <sz val="11"/>
      <color theme="1"/>
      <name val="Calibri"/>
      <family val="2"/>
      <charset val="136"/>
      <scheme val="minor"/>
    </font>
    <font>
      <sz val="11"/>
      <color indexed="8"/>
      <name val="Calibri"/>
      <family val="2"/>
    </font>
    <font>
      <sz val="12"/>
      <name val="宋体"/>
      <family val="3"/>
      <charset val="136"/>
    </font>
    <font>
      <sz val="12"/>
      <name val="新細明體"/>
      <family val="1"/>
      <charset val="136"/>
    </font>
    <font>
      <sz val="16"/>
      <color theme="1"/>
      <name val="바탕"/>
      <family val="1"/>
      <charset val="129"/>
    </font>
    <font>
      <sz val="16"/>
      <color theme="1"/>
      <name val="Cambria"/>
      <family val="2"/>
      <scheme val="major"/>
    </font>
    <font>
      <sz val="16"/>
      <color theme="1"/>
      <name val="Cambria"/>
      <family val="1"/>
      <scheme val="major"/>
    </font>
    <font>
      <b/>
      <sz val="28"/>
      <color theme="1"/>
      <name val="Cambria"/>
      <family val="1"/>
      <scheme val="major"/>
    </font>
    <font>
      <b/>
      <sz val="16"/>
      <color theme="1"/>
      <name val="Cambria"/>
      <family val="2"/>
      <scheme val="major"/>
    </font>
    <font>
      <b/>
      <sz val="16"/>
      <color theme="1"/>
      <name val="Cambria"/>
      <family val="1"/>
      <scheme val="major"/>
    </font>
    <font>
      <sz val="18"/>
      <color theme="1"/>
      <name val="Times New Roman"/>
      <family val="1"/>
    </font>
    <font>
      <sz val="16"/>
      <color rgb="FF333333"/>
      <name val="Times New Roman"/>
      <family val="1"/>
    </font>
    <font>
      <b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8"/>
      <name val="Arial"/>
      <family val="2"/>
    </font>
    <font>
      <sz val="16"/>
      <color rgb="FF000000"/>
      <name val="맑은 고딕"/>
    </font>
    <font>
      <sz val="16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맑은 고딕"/>
    </font>
    <font>
      <b/>
      <sz val="11"/>
      <color rgb="FF000000"/>
      <name val="Arial"/>
      <family val="2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D9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3">
    <xf numFmtId="0" fontId="0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0" fontId="3" fillId="0" borderId="0"/>
    <xf numFmtId="0" fontId="9" fillId="0" borderId="0">
      <alignment vertical="center"/>
    </xf>
    <xf numFmtId="0" fontId="10" fillId="0" borderId="0">
      <alignment vertical="center"/>
    </xf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2" fillId="0" borderId="0">
      <alignment vertical="center"/>
    </xf>
    <xf numFmtId="0" fontId="11" fillId="0" borderId="0"/>
    <xf numFmtId="0" fontId="13" fillId="0" borderId="0"/>
    <xf numFmtId="0" fontId="1" fillId="0" borderId="0">
      <alignment vertical="center"/>
    </xf>
    <xf numFmtId="9" fontId="1" fillId="0" borderId="0" applyFont="0" applyFill="0" applyBorder="0" applyAlignment="0" applyProtection="0"/>
  </cellStyleXfs>
  <cellXfs count="157">
    <xf numFmtId="0" fontId="0" fillId="0" borderId="0" xfId="0">
      <alignment vertical="center"/>
    </xf>
    <xf numFmtId="0" fontId="6" fillId="0" borderId="0" xfId="2" applyFont="1"/>
    <xf numFmtId="0" fontId="6" fillId="2" borderId="0" xfId="2" applyFont="1" applyFill="1" applyAlignment="1">
      <alignment horizontal="center"/>
    </xf>
    <xf numFmtId="0" fontId="6" fillId="0" borderId="0" xfId="2" applyFont="1" applyAlignment="1">
      <alignment horizontal="center"/>
    </xf>
    <xf numFmtId="0" fontId="6" fillId="0" borderId="0" xfId="2" applyFont="1" applyAlignment="1">
      <alignment vertical="center"/>
    </xf>
    <xf numFmtId="0" fontId="6" fillId="2" borderId="1" xfId="4" applyFont="1" applyFill="1" applyBorder="1" applyAlignment="1">
      <alignment horizontal="center" vertical="center"/>
    </xf>
    <xf numFmtId="0" fontId="6" fillId="2" borderId="1" xfId="4" applyFont="1" applyFill="1" applyBorder="1" applyAlignment="1">
      <alignment horizontal="center" vertical="center" wrapText="1"/>
    </xf>
    <xf numFmtId="165" fontId="15" fillId="2" borderId="1" xfId="3" applyNumberFormat="1" applyFont="1" applyFill="1" applyBorder="1" applyAlignment="1">
      <alignment horizontal="center" vertical="center" wrapText="1"/>
    </xf>
    <xf numFmtId="165" fontId="16" fillId="2" borderId="1" xfId="3" applyNumberFormat="1" applyFont="1" applyFill="1" applyBorder="1" applyAlignment="1">
      <alignment horizontal="center" vertical="center" wrapText="1"/>
    </xf>
    <xf numFmtId="0" fontId="18" fillId="2" borderId="1" xfId="3" applyFont="1" applyFill="1" applyBorder="1" applyAlignment="1">
      <alignment horizontal="center" vertical="center" wrapText="1"/>
    </xf>
    <xf numFmtId="0" fontId="18" fillId="2" borderId="1" xfId="2" applyFont="1" applyFill="1" applyBorder="1" applyAlignment="1">
      <alignment horizontal="center" vertical="center" wrapText="1"/>
    </xf>
    <xf numFmtId="0" fontId="5" fillId="2" borderId="1" xfId="3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 wrapText="1"/>
    </xf>
    <xf numFmtId="0" fontId="5" fillId="2" borderId="6" xfId="3" applyFont="1" applyFill="1" applyBorder="1" applyAlignment="1">
      <alignment horizontal="center" vertical="center" wrapText="1"/>
    </xf>
    <xf numFmtId="0" fontId="6" fillId="2" borderId="4" xfId="2" applyFont="1" applyFill="1" applyBorder="1" applyAlignment="1">
      <alignment horizontal="center" vertical="center" wrapText="1"/>
    </xf>
    <xf numFmtId="164" fontId="6" fillId="2" borderId="7" xfId="1" applyFont="1" applyFill="1" applyBorder="1" applyAlignment="1">
      <alignment horizontal="center" vertical="center" wrapText="1"/>
    </xf>
    <xf numFmtId="3" fontId="14" fillId="2" borderId="1" xfId="2" applyNumberFormat="1" applyFont="1" applyFill="1" applyBorder="1" applyAlignment="1">
      <alignment horizontal="center" vertical="center"/>
    </xf>
    <xf numFmtId="164" fontId="5" fillId="2" borderId="1" xfId="1" applyFont="1" applyFill="1" applyBorder="1" applyAlignment="1">
      <alignment horizontal="center" vertical="center"/>
    </xf>
    <xf numFmtId="3" fontId="5" fillId="2" borderId="1" xfId="2" applyNumberFormat="1" applyFont="1" applyFill="1" applyBorder="1" applyAlignment="1">
      <alignment horizontal="center" vertical="center"/>
    </xf>
    <xf numFmtId="164" fontId="5" fillId="2" borderId="1" xfId="1" applyFont="1" applyFill="1" applyBorder="1" applyAlignment="1">
      <alignment horizontal="center" vertical="center" wrapText="1"/>
    </xf>
    <xf numFmtId="1" fontId="5" fillId="2" borderId="1" xfId="2" applyNumberFormat="1" applyFont="1" applyFill="1" applyBorder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 wrapText="1"/>
    </xf>
    <xf numFmtId="3" fontId="6" fillId="2" borderId="9" xfId="2" applyNumberFormat="1" applyFont="1" applyFill="1" applyBorder="1" applyAlignment="1">
      <alignment horizontal="center" vertical="center" wrapText="1"/>
    </xf>
    <xf numFmtId="1" fontId="6" fillId="2" borderId="9" xfId="2" applyNumberFormat="1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center" vertical="center"/>
    </xf>
    <xf numFmtId="3" fontId="6" fillId="2" borderId="1" xfId="3" applyNumberFormat="1" applyFont="1" applyFill="1" applyBorder="1" applyAlignment="1">
      <alignment horizontal="center" vertical="center" wrapText="1"/>
    </xf>
    <xf numFmtId="3" fontId="6" fillId="2" borderId="1" xfId="2" applyNumberFormat="1" applyFont="1" applyFill="1" applyBorder="1" applyAlignment="1">
      <alignment horizontal="center" vertical="center"/>
    </xf>
    <xf numFmtId="2" fontId="16" fillId="2" borderId="1" xfId="3" applyNumberFormat="1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0" xfId="2" applyFont="1" applyFill="1" applyBorder="1" applyAlignment="1">
      <alignment horizontal="center" vertical="center" wrapText="1"/>
    </xf>
    <xf numFmtId="165" fontId="16" fillId="2" borderId="1" xfId="3" quotePrefix="1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65" fontId="16" fillId="2" borderId="1" xfId="3" applyNumberFormat="1" applyFont="1" applyFill="1" applyBorder="1" applyAlignment="1">
      <alignment vertical="center" wrapText="1"/>
    </xf>
    <xf numFmtId="2" fontId="16" fillId="2" borderId="1" xfId="3" applyNumberFormat="1" applyFont="1" applyFill="1" applyBorder="1" applyAlignment="1">
      <alignment vertical="center" wrapText="1"/>
    </xf>
    <xf numFmtId="0" fontId="7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center" vertical="center"/>
    </xf>
    <xf numFmtId="0" fontId="7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19" fillId="2" borderId="1" xfId="3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3" fontId="6" fillId="3" borderId="1" xfId="3" applyNumberFormat="1" applyFont="1" applyFill="1" applyBorder="1" applyAlignment="1">
      <alignment horizontal="center" vertical="center" wrapText="1"/>
    </xf>
    <xf numFmtId="0" fontId="18" fillId="3" borderId="1" xfId="3" applyFont="1" applyFill="1" applyBorder="1" applyAlignment="1">
      <alignment horizontal="center" vertical="center" wrapText="1"/>
    </xf>
    <xf numFmtId="0" fontId="6" fillId="3" borderId="1" xfId="2" applyFont="1" applyFill="1" applyBorder="1" applyAlignment="1">
      <alignment horizontal="center" vertical="center" wrapText="1"/>
    </xf>
    <xf numFmtId="3" fontId="6" fillId="3" borderId="1" xfId="2" applyNumberFormat="1" applyFont="1" applyFill="1" applyBorder="1" applyAlignment="1">
      <alignment horizontal="center" vertical="center"/>
    </xf>
    <xf numFmtId="165" fontId="16" fillId="3" borderId="1" xfId="3" applyNumberFormat="1" applyFont="1" applyFill="1" applyBorder="1" applyAlignment="1">
      <alignment horizontal="center" vertical="center" wrapText="1"/>
    </xf>
    <xf numFmtId="2" fontId="16" fillId="3" borderId="1" xfId="3" applyNumberFormat="1" applyFont="1" applyFill="1" applyBorder="1" applyAlignment="1">
      <alignment horizontal="center" vertical="center" wrapText="1"/>
    </xf>
    <xf numFmtId="0" fontId="1" fillId="0" borderId="0" xfId="11">
      <alignment vertical="center"/>
    </xf>
    <xf numFmtId="0" fontId="22" fillId="0" borderId="25" xfId="11" applyFont="1" applyFill="1" applyBorder="1" applyAlignment="1">
      <alignment horizontal="center" vertical="center"/>
    </xf>
    <xf numFmtId="0" fontId="22" fillId="0" borderId="14" xfId="11" applyFont="1" applyFill="1" applyBorder="1" applyAlignment="1">
      <alignment horizontal="center" vertical="center"/>
    </xf>
    <xf numFmtId="0" fontId="22" fillId="0" borderId="9" xfId="11" applyFont="1" applyFill="1" applyBorder="1" applyAlignment="1">
      <alignment horizontal="center" vertical="center"/>
    </xf>
    <xf numFmtId="0" fontId="22" fillId="0" borderId="26" xfId="11" applyFont="1" applyFill="1" applyBorder="1" applyAlignment="1">
      <alignment horizontal="center" vertical="center"/>
    </xf>
    <xf numFmtId="0" fontId="1" fillId="2" borderId="27" xfId="11" applyFill="1" applyBorder="1" applyAlignment="1">
      <alignment horizontal="center" vertical="center"/>
    </xf>
    <xf numFmtId="167" fontId="1" fillId="2" borderId="26" xfId="11" quotePrefix="1" applyNumberFormat="1" applyFill="1" applyBorder="1" applyAlignment="1">
      <alignment horizontal="center" vertical="center"/>
    </xf>
    <xf numFmtId="14" fontId="0" fillId="2" borderId="26" xfId="11" quotePrefix="1" applyNumberFormat="1" applyFont="1" applyFill="1" applyBorder="1" applyAlignment="1">
      <alignment horizontal="center" vertical="center"/>
    </xf>
    <xf numFmtId="168" fontId="0" fillId="0" borderId="0" xfId="11" applyNumberFormat="1" applyFont="1">
      <alignment vertical="center"/>
    </xf>
    <xf numFmtId="0" fontId="0" fillId="2" borderId="14" xfId="11" applyFont="1" applyFill="1" applyBorder="1" applyAlignment="1">
      <alignment horizontal="center" vertical="center"/>
    </xf>
    <xf numFmtId="166" fontId="1" fillId="2" borderId="25" xfId="11" applyNumberFormat="1" applyFill="1" applyBorder="1" applyAlignment="1">
      <alignment horizontal="center" vertical="center"/>
    </xf>
    <xf numFmtId="167" fontId="1" fillId="2" borderId="9" xfId="11" applyNumberFormat="1" applyFill="1" applyBorder="1" applyAlignment="1">
      <alignment horizontal="center" vertical="center"/>
    </xf>
    <xf numFmtId="166" fontId="1" fillId="2" borderId="1" xfId="11" applyNumberFormat="1" applyFill="1" applyBorder="1" applyAlignment="1">
      <alignment horizontal="center" vertical="center"/>
    </xf>
    <xf numFmtId="167" fontId="1" fillId="2" borderId="1" xfId="11" applyNumberFormat="1" applyFill="1" applyBorder="1" applyAlignment="1">
      <alignment horizontal="center" vertical="center"/>
    </xf>
    <xf numFmtId="0" fontId="0" fillId="2" borderId="27" xfId="11" applyFont="1" applyFill="1" applyBorder="1" applyAlignment="1">
      <alignment horizontal="center" vertical="center"/>
    </xf>
    <xf numFmtId="167" fontId="1" fillId="0" borderId="0" xfId="11" applyNumberFormat="1">
      <alignment vertical="center"/>
    </xf>
    <xf numFmtId="0" fontId="1" fillId="2" borderId="29" xfId="11" applyFill="1" applyBorder="1" applyAlignment="1">
      <alignment horizontal="center" vertical="center"/>
    </xf>
    <xf numFmtId="0" fontId="1" fillId="2" borderId="9" xfId="11" applyFont="1" applyFill="1" applyBorder="1" applyAlignment="1">
      <alignment horizontal="center" vertical="center"/>
    </xf>
    <xf numFmtId="166" fontId="1" fillId="2" borderId="25" xfId="11" applyNumberFormat="1" applyFont="1" applyFill="1" applyBorder="1" applyAlignment="1">
      <alignment horizontal="center" vertical="center"/>
    </xf>
    <xf numFmtId="167" fontId="1" fillId="2" borderId="9" xfId="11" applyNumberFormat="1" applyFont="1" applyFill="1" applyBorder="1" applyAlignment="1">
      <alignment horizontal="center" vertical="center"/>
    </xf>
    <xf numFmtId="0" fontId="1" fillId="2" borderId="9" xfId="11" applyFill="1" applyBorder="1" applyAlignment="1">
      <alignment horizontal="center" vertical="center"/>
    </xf>
    <xf numFmtId="0" fontId="0" fillId="2" borderId="19" xfId="11" applyFont="1" applyFill="1" applyBorder="1" applyAlignment="1">
      <alignment horizontal="center" vertical="center"/>
    </xf>
    <xf numFmtId="0" fontId="1" fillId="2" borderId="33" xfId="11" applyFill="1" applyBorder="1" applyAlignment="1">
      <alignment horizontal="center" vertical="center"/>
    </xf>
    <xf numFmtId="169" fontId="1" fillId="2" borderId="33" xfId="11" applyNumberFormat="1" applyFill="1" applyBorder="1" applyAlignment="1">
      <alignment horizontal="center" vertical="center"/>
    </xf>
    <xf numFmtId="0" fontId="0" fillId="0" borderId="0" xfId="11" applyFont="1">
      <alignment vertical="center"/>
    </xf>
    <xf numFmtId="0" fontId="0" fillId="2" borderId="28" xfId="11" applyFont="1" applyFill="1" applyBorder="1" applyAlignment="1">
      <alignment horizontal="center" vertical="center"/>
    </xf>
    <xf numFmtId="166" fontId="0" fillId="2" borderId="25" xfId="11" applyNumberFormat="1" applyFont="1" applyFill="1" applyBorder="1" applyAlignment="1">
      <alignment horizontal="center" vertical="center"/>
    </xf>
    <xf numFmtId="0" fontId="6" fillId="2" borderId="3" xfId="2" applyFont="1" applyFill="1" applyBorder="1" applyAlignment="1">
      <alignment horizontal="center" vertical="center" wrapText="1"/>
    </xf>
    <xf numFmtId="170" fontId="0" fillId="2" borderId="26" xfId="12" quotePrefix="1" applyNumberFormat="1" applyFont="1" applyFill="1" applyBorder="1" applyAlignment="1">
      <alignment horizontal="center" vertical="center"/>
    </xf>
    <xf numFmtId="167" fontId="1" fillId="5" borderId="9" xfId="11" applyNumberFormat="1" applyFill="1" applyBorder="1" applyAlignment="1">
      <alignment horizontal="center" vertical="center"/>
    </xf>
    <xf numFmtId="167" fontId="1" fillId="5" borderId="1" xfId="11" applyNumberFormat="1" applyFill="1" applyBorder="1" applyAlignment="1">
      <alignment horizontal="center" vertical="center"/>
    </xf>
    <xf numFmtId="0" fontId="27" fillId="7" borderId="40" xfId="0" applyFont="1" applyFill="1" applyBorder="1" applyAlignment="1">
      <alignment horizontal="center" vertical="center" wrapText="1" readingOrder="1"/>
    </xf>
    <xf numFmtId="0" fontId="27" fillId="7" borderId="36" xfId="0" applyFont="1" applyFill="1" applyBorder="1" applyAlignment="1">
      <alignment horizontal="center" vertical="center" wrapText="1" readingOrder="1"/>
    </xf>
    <xf numFmtId="0" fontId="28" fillId="7" borderId="36" xfId="0" applyFont="1" applyFill="1" applyBorder="1" applyAlignment="1">
      <alignment horizontal="center" vertical="center" wrapText="1" readingOrder="1"/>
    </xf>
    <xf numFmtId="0" fontId="29" fillId="7" borderId="36" xfId="0" applyFont="1" applyFill="1" applyBorder="1" applyAlignment="1">
      <alignment horizontal="center" vertical="center" wrapText="1" readingOrder="1"/>
    </xf>
    <xf numFmtId="0" fontId="30" fillId="7" borderId="36" xfId="0" applyFont="1" applyFill="1" applyBorder="1" applyAlignment="1">
      <alignment horizontal="center" vertical="center" wrapText="1" readingOrder="1"/>
    </xf>
    <xf numFmtId="10" fontId="30" fillId="7" borderId="36" xfId="0" applyNumberFormat="1" applyFont="1" applyFill="1" applyBorder="1" applyAlignment="1">
      <alignment horizontal="center" vertical="center" wrapText="1" readingOrder="1"/>
    </xf>
    <xf numFmtId="0" fontId="24" fillId="7" borderId="36" xfId="0" applyFont="1" applyFill="1" applyBorder="1" applyAlignment="1">
      <alignment horizontal="center" vertical="center" wrapText="1"/>
    </xf>
    <xf numFmtId="0" fontId="30" fillId="7" borderId="41" xfId="0" applyFont="1" applyFill="1" applyBorder="1" applyAlignment="1">
      <alignment horizontal="center" vertical="center" wrapText="1" readingOrder="1"/>
    </xf>
    <xf numFmtId="3" fontId="30" fillId="7" borderId="36" xfId="0" applyNumberFormat="1" applyFont="1" applyFill="1" applyBorder="1" applyAlignment="1">
      <alignment horizontal="center" vertical="center" wrapText="1" readingOrder="1"/>
    </xf>
    <xf numFmtId="3" fontId="28" fillId="7" borderId="36" xfId="0" applyNumberFormat="1" applyFont="1" applyFill="1" applyBorder="1" applyAlignment="1">
      <alignment horizontal="center" vertical="center" wrapText="1" readingOrder="1"/>
    </xf>
    <xf numFmtId="3" fontId="30" fillId="8" borderId="36" xfId="0" applyNumberFormat="1" applyFont="1" applyFill="1" applyBorder="1" applyAlignment="1">
      <alignment horizontal="center" vertical="center" wrapText="1" readingOrder="1"/>
    </xf>
    <xf numFmtId="0" fontId="5" fillId="2" borderId="4" xfId="2" applyFont="1" applyFill="1" applyBorder="1" applyAlignment="1">
      <alignment horizontal="center" vertical="center" wrapText="1"/>
    </xf>
    <xf numFmtId="0" fontId="5" fillId="2" borderId="3" xfId="2" applyFont="1" applyFill="1" applyBorder="1" applyAlignment="1">
      <alignment horizontal="center" vertical="center" wrapText="1"/>
    </xf>
    <xf numFmtId="0" fontId="17" fillId="2" borderId="1" xfId="2" applyFont="1" applyFill="1" applyBorder="1" applyAlignment="1">
      <alignment horizontal="center" vertical="center"/>
    </xf>
    <xf numFmtId="0" fontId="6" fillId="2" borderId="0" xfId="2" applyFont="1" applyFill="1"/>
    <xf numFmtId="3" fontId="6" fillId="2" borderId="1" xfId="2" applyNumberFormat="1" applyFont="1" applyFill="1" applyBorder="1" applyAlignment="1">
      <alignment horizontal="center" vertical="center" wrapText="1"/>
    </xf>
    <xf numFmtId="3" fontId="6" fillId="2" borderId="7" xfId="2" applyNumberFormat="1" applyFont="1" applyFill="1" applyBorder="1" applyAlignment="1">
      <alignment horizontal="center" vertical="center" wrapText="1"/>
    </xf>
    <xf numFmtId="0" fontId="6" fillId="2" borderId="0" xfId="2" applyFont="1" applyFill="1" applyAlignment="1">
      <alignment vertical="center"/>
    </xf>
    <xf numFmtId="3" fontId="0" fillId="2" borderId="0" xfId="0" applyNumberFormat="1" applyFill="1" applyAlignment="1">
      <alignment horizontal="center" vertical="center"/>
    </xf>
    <xf numFmtId="0" fontId="6" fillId="2" borderId="4" xfId="2" applyFont="1" applyFill="1" applyBorder="1" applyAlignment="1">
      <alignment horizontal="center" vertical="center"/>
    </xf>
    <xf numFmtId="0" fontId="6" fillId="2" borderId="0" xfId="2" applyFont="1" applyFill="1" applyBorder="1" applyAlignment="1">
      <alignment horizontal="center" vertical="center"/>
    </xf>
    <xf numFmtId="165" fontId="16" fillId="2" borderId="11" xfId="3" applyNumberFormat="1" applyFont="1" applyFill="1" applyBorder="1" applyAlignment="1">
      <alignment horizontal="center" vertical="center" wrapText="1"/>
    </xf>
    <xf numFmtId="165" fontId="16" fillId="2" borderId="12" xfId="3" applyNumberFormat="1" applyFont="1" applyFill="1" applyBorder="1" applyAlignment="1">
      <alignment horizontal="center" vertical="center" wrapText="1"/>
    </xf>
    <xf numFmtId="0" fontId="5" fillId="2" borderId="6" xfId="2" applyFont="1" applyFill="1" applyBorder="1" applyAlignment="1">
      <alignment horizontal="center" vertical="center" wrapText="1"/>
    </xf>
    <xf numFmtId="0" fontId="5" fillId="2" borderId="4" xfId="2" applyFont="1" applyFill="1" applyBorder="1" applyAlignment="1">
      <alignment horizontal="center" vertical="center" wrapText="1"/>
    </xf>
    <xf numFmtId="0" fontId="5" fillId="2" borderId="7" xfId="2" applyFont="1" applyFill="1" applyBorder="1" applyAlignment="1">
      <alignment horizontal="center" vertical="center" wrapText="1"/>
    </xf>
    <xf numFmtId="0" fontId="5" fillId="2" borderId="8" xfId="2" applyFont="1" applyFill="1" applyBorder="1" applyAlignment="1">
      <alignment horizontal="center" vertical="center" wrapText="1"/>
    </xf>
    <xf numFmtId="0" fontId="5" fillId="2" borderId="3" xfId="2" applyFont="1" applyFill="1" applyBorder="1" applyAlignment="1">
      <alignment horizontal="center" vertical="center" wrapText="1"/>
    </xf>
    <xf numFmtId="0" fontId="5" fillId="2" borderId="5" xfId="2" applyFont="1" applyFill="1" applyBorder="1" applyAlignment="1">
      <alignment horizontal="center" vertical="center" wrapText="1"/>
    </xf>
    <xf numFmtId="0" fontId="17" fillId="2" borderId="9" xfId="2" applyFont="1" applyFill="1" applyBorder="1" applyAlignment="1">
      <alignment horizontal="center" vertical="center"/>
    </xf>
    <xf numFmtId="0" fontId="17" fillId="2" borderId="13" xfId="2" applyFont="1" applyFill="1" applyBorder="1" applyAlignment="1">
      <alignment horizontal="center" vertical="center"/>
    </xf>
    <xf numFmtId="0" fontId="17" fillId="2" borderId="1" xfId="2" applyFont="1" applyFill="1" applyBorder="1" applyAlignment="1">
      <alignment horizontal="center" vertical="center"/>
    </xf>
    <xf numFmtId="165" fontId="16" fillId="2" borderId="10" xfId="3" applyNumberFormat="1" applyFont="1" applyFill="1" applyBorder="1" applyAlignment="1">
      <alignment horizontal="center" vertical="center" wrapText="1"/>
    </xf>
    <xf numFmtId="0" fontId="18" fillId="2" borderId="11" xfId="3" applyFont="1" applyFill="1" applyBorder="1" applyAlignment="1">
      <alignment horizontal="center" vertical="center" wrapText="1"/>
    </xf>
    <xf numFmtId="0" fontId="18" fillId="2" borderId="10" xfId="3" applyFont="1" applyFill="1" applyBorder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7" fillId="2" borderId="2" xfId="2" applyFont="1" applyFill="1" applyBorder="1" applyAlignment="1">
      <alignment horizontal="left" vertical="top" wrapText="1"/>
    </xf>
    <xf numFmtId="0" fontId="7" fillId="2" borderId="0" xfId="2" applyFont="1" applyFill="1" applyAlignment="1">
      <alignment horizontal="left" vertical="top" wrapText="1"/>
    </xf>
    <xf numFmtId="0" fontId="6" fillId="0" borderId="4" xfId="2" applyFont="1" applyBorder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0" fillId="0" borderId="28" xfId="11" applyFont="1" applyBorder="1" applyAlignment="1">
      <alignment horizontal="center" vertical="center"/>
    </xf>
    <xf numFmtId="0" fontId="1" fillId="0" borderId="18" xfId="11" applyFill="1" applyBorder="1" applyAlignment="1">
      <alignment horizontal="center" vertical="center"/>
    </xf>
    <xf numFmtId="0" fontId="1" fillId="0" borderId="32" xfId="11" applyFill="1" applyBorder="1" applyAlignment="1">
      <alignment horizontal="center" vertical="center"/>
    </xf>
    <xf numFmtId="166" fontId="1" fillId="2" borderId="30" xfId="11" applyNumberFormat="1" applyFill="1" applyBorder="1" applyAlignment="1">
      <alignment horizontal="center" vertical="center"/>
    </xf>
    <xf numFmtId="166" fontId="1" fillId="2" borderId="34" xfId="11" applyNumberFormat="1" applyFill="1" applyBorder="1" applyAlignment="1">
      <alignment horizontal="center" vertical="center"/>
    </xf>
    <xf numFmtId="170" fontId="1" fillId="2" borderId="31" xfId="12" applyNumberFormat="1" applyFill="1" applyBorder="1" applyAlignment="1">
      <alignment horizontal="center" vertical="center"/>
    </xf>
    <xf numFmtId="170" fontId="1" fillId="2" borderId="35" xfId="12" applyNumberFormat="1" applyFill="1" applyBorder="1" applyAlignment="1">
      <alignment horizontal="center" vertical="center"/>
    </xf>
    <xf numFmtId="0" fontId="23" fillId="4" borderId="15" xfId="11" applyFont="1" applyFill="1" applyBorder="1" applyAlignment="1">
      <alignment horizontal="center" vertical="center"/>
    </xf>
    <xf numFmtId="0" fontId="23" fillId="4" borderId="16" xfId="11" applyFont="1" applyFill="1" applyBorder="1" applyAlignment="1">
      <alignment horizontal="center" vertical="center"/>
    </xf>
    <xf numFmtId="0" fontId="23" fillId="4" borderId="17" xfId="11" applyFont="1" applyFill="1" applyBorder="1" applyAlignment="1">
      <alignment horizontal="center" vertical="center"/>
    </xf>
    <xf numFmtId="0" fontId="22" fillId="0" borderId="18" xfId="11" applyFont="1" applyFill="1" applyBorder="1" applyAlignment="1">
      <alignment horizontal="center" vertical="center"/>
    </xf>
    <xf numFmtId="0" fontId="22" fillId="0" borderId="23" xfId="11" applyFont="1" applyFill="1" applyBorder="1" applyAlignment="1">
      <alignment horizontal="center" vertical="center"/>
    </xf>
    <xf numFmtId="0" fontId="22" fillId="0" borderId="19" xfId="11" applyFont="1" applyFill="1" applyBorder="1" applyAlignment="1">
      <alignment horizontal="center" vertical="center"/>
    </xf>
    <xf numFmtId="0" fontId="22" fillId="0" borderId="24" xfId="11" applyFont="1" applyFill="1" applyBorder="1" applyAlignment="1">
      <alignment horizontal="center" vertical="center"/>
    </xf>
    <xf numFmtId="0" fontId="22" fillId="0" borderId="20" xfId="11" applyFont="1" applyFill="1" applyBorder="1" applyAlignment="1">
      <alignment horizontal="center" vertical="center"/>
    </xf>
    <xf numFmtId="0" fontId="22" fillId="0" borderId="21" xfId="11" applyFont="1" applyFill="1" applyBorder="1" applyAlignment="1">
      <alignment horizontal="center" vertical="center"/>
    </xf>
    <xf numFmtId="0" fontId="22" fillId="0" borderId="22" xfId="11" applyFont="1" applyFill="1" applyBorder="1" applyAlignment="1">
      <alignment horizontal="center" vertical="center"/>
    </xf>
    <xf numFmtId="0" fontId="1" fillId="2" borderId="18" xfId="11" applyFill="1" applyBorder="1" applyAlignment="1">
      <alignment horizontal="center" vertical="center"/>
    </xf>
    <xf numFmtId="0" fontId="1" fillId="2" borderId="28" xfId="11" applyFill="1" applyBorder="1" applyAlignment="1">
      <alignment horizontal="center" vertical="center"/>
    </xf>
    <xf numFmtId="0" fontId="1" fillId="2" borderId="23" xfId="11" applyFill="1" applyBorder="1" applyAlignment="1">
      <alignment horizontal="center" vertical="center"/>
    </xf>
    <xf numFmtId="0" fontId="27" fillId="7" borderId="40" xfId="0" applyFont="1" applyFill="1" applyBorder="1" applyAlignment="1">
      <alignment horizontal="center" vertical="center" wrapText="1" readingOrder="1"/>
    </xf>
    <xf numFmtId="0" fontId="27" fillId="7" borderId="41" xfId="0" applyFont="1" applyFill="1" applyBorder="1" applyAlignment="1">
      <alignment horizontal="center" vertical="center" wrapText="1" readingOrder="1"/>
    </xf>
    <xf numFmtId="0" fontId="30" fillId="7" borderId="40" xfId="0" applyFont="1" applyFill="1" applyBorder="1" applyAlignment="1">
      <alignment horizontal="center" vertical="center" wrapText="1" readingOrder="1"/>
    </xf>
    <xf numFmtId="0" fontId="30" fillId="7" borderId="41" xfId="0" applyFont="1" applyFill="1" applyBorder="1" applyAlignment="1">
      <alignment horizontal="center" vertical="center" wrapText="1" readingOrder="1"/>
    </xf>
    <xf numFmtId="170" fontId="28" fillId="8" borderId="40" xfId="12" applyNumberFormat="1" applyFont="1" applyFill="1" applyBorder="1" applyAlignment="1">
      <alignment horizontal="center" vertical="center" wrapText="1" readingOrder="1"/>
    </xf>
    <xf numFmtId="170" fontId="28" fillId="8" borderId="41" xfId="12" applyNumberFormat="1" applyFont="1" applyFill="1" applyBorder="1" applyAlignment="1">
      <alignment horizontal="center" vertical="center" wrapText="1" readingOrder="1"/>
    </xf>
    <xf numFmtId="0" fontId="24" fillId="7" borderId="40" xfId="0" applyFont="1" applyFill="1" applyBorder="1" applyAlignment="1">
      <alignment horizontal="center" vertical="center" wrapText="1"/>
    </xf>
    <xf numFmtId="0" fontId="24" fillId="7" borderId="41" xfId="0" applyFont="1" applyFill="1" applyBorder="1" applyAlignment="1">
      <alignment horizontal="center" vertical="center" wrapText="1"/>
    </xf>
    <xf numFmtId="0" fontId="25" fillId="6" borderId="37" xfId="0" applyFont="1" applyFill="1" applyBorder="1" applyAlignment="1">
      <alignment horizontal="center" vertical="center" wrapText="1" readingOrder="1"/>
    </xf>
    <xf numFmtId="0" fontId="25" fillId="6" borderId="38" xfId="0" applyFont="1" applyFill="1" applyBorder="1" applyAlignment="1">
      <alignment horizontal="center" vertical="center" wrapText="1" readingOrder="1"/>
    </xf>
    <xf numFmtId="0" fontId="25" fillId="6" borderId="39" xfId="0" applyFont="1" applyFill="1" applyBorder="1" applyAlignment="1">
      <alignment horizontal="center" vertical="center" wrapText="1" readingOrder="1"/>
    </xf>
    <xf numFmtId="0" fontId="28" fillId="7" borderId="37" xfId="0" applyFont="1" applyFill="1" applyBorder="1" applyAlignment="1">
      <alignment horizontal="center" vertical="center" wrapText="1" readingOrder="1"/>
    </xf>
    <xf numFmtId="0" fontId="28" fillId="7" borderId="38" xfId="0" applyFont="1" applyFill="1" applyBorder="1" applyAlignment="1">
      <alignment horizontal="center" vertical="center" wrapText="1" readingOrder="1"/>
    </xf>
    <xf numFmtId="0" fontId="28" fillId="7" borderId="39" xfId="0" applyFont="1" applyFill="1" applyBorder="1" applyAlignment="1">
      <alignment horizontal="center" vertical="center" wrapText="1" readingOrder="1"/>
    </xf>
    <xf numFmtId="0" fontId="28" fillId="7" borderId="40" xfId="0" applyFont="1" applyFill="1" applyBorder="1" applyAlignment="1">
      <alignment horizontal="center" vertical="center" wrapText="1" readingOrder="1"/>
    </xf>
    <xf numFmtId="0" fontId="28" fillId="7" borderId="41" xfId="0" applyFont="1" applyFill="1" applyBorder="1" applyAlignment="1">
      <alignment horizontal="center" vertical="center" wrapText="1" readingOrder="1"/>
    </xf>
    <xf numFmtId="3" fontId="30" fillId="7" borderId="40" xfId="0" applyNumberFormat="1" applyFont="1" applyFill="1" applyBorder="1" applyAlignment="1">
      <alignment horizontal="center" vertical="center" wrapText="1" readingOrder="1"/>
    </xf>
    <xf numFmtId="10" fontId="30" fillId="7" borderId="40" xfId="0" applyNumberFormat="1" applyFont="1" applyFill="1" applyBorder="1" applyAlignment="1">
      <alignment horizontal="center" vertical="center" wrapText="1" readingOrder="1"/>
    </xf>
    <xf numFmtId="10" fontId="30" fillId="7" borderId="41" xfId="0" applyNumberFormat="1" applyFont="1" applyFill="1" applyBorder="1" applyAlignment="1">
      <alignment horizontal="center" vertical="center" wrapText="1" readingOrder="1"/>
    </xf>
  </cellXfs>
  <cellStyles count="13">
    <cellStyle name="Comma [0]" xfId="1" builtinId="6"/>
    <cellStyle name="Comma 2" xfId="6"/>
    <cellStyle name="Normal" xfId="0" builtinId="0"/>
    <cellStyle name="Normal 13" xfId="2"/>
    <cellStyle name="Normal 2" xfId="7"/>
    <cellStyle name="Normal 2 8 3 2" xfId="3"/>
    <cellStyle name="Normal 2 8 3 2 2" xfId="8"/>
    <cellStyle name="Normal 3" xfId="9"/>
    <cellStyle name="Percent" xfId="12" builtinId="5"/>
    <cellStyle name="Percent 2" xfId="5"/>
    <cellStyle name="표준 2" xfId="4"/>
    <cellStyle name="표준 3" xfId="11"/>
    <cellStyle name="一般_CNSBG雜項採購詢價需求提報表-2011.10.1" xf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1160319</xdr:colOff>
      <xdr:row>38</xdr:row>
      <xdr:rowOff>138545</xdr:rowOff>
    </xdr:from>
    <xdr:to>
      <xdr:col>4</xdr:col>
      <xdr:colOff>2286001</xdr:colOff>
      <xdr:row>38</xdr:row>
      <xdr:rowOff>1163720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16046" y="40247454"/>
          <a:ext cx="1125682" cy="1025175"/>
        </a:xfrm>
        <a:prstGeom prst="rect">
          <a:avLst/>
        </a:prstGeom>
      </xdr:spPr>
    </xdr:pic>
    <xdr:clientData/>
  </xdr:twoCellAnchor>
  <xdr:twoCellAnchor editAs="oneCell">
    <xdr:from>
      <xdr:col>4</xdr:col>
      <xdr:colOff>658092</xdr:colOff>
      <xdr:row>39</xdr:row>
      <xdr:rowOff>242454</xdr:rowOff>
    </xdr:from>
    <xdr:to>
      <xdr:col>4</xdr:col>
      <xdr:colOff>2436812</xdr:colOff>
      <xdr:row>39</xdr:row>
      <xdr:rowOff>1004454</xdr:rowOff>
    </xdr:to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13819" y="54638863"/>
          <a:ext cx="1778720" cy="762000"/>
        </a:xfrm>
        <a:prstGeom prst="rect">
          <a:avLst/>
        </a:prstGeom>
      </xdr:spPr>
    </xdr:pic>
    <xdr:clientData/>
  </xdr:twoCellAnchor>
  <xdr:twoCellAnchor editAs="oneCell">
    <xdr:from>
      <xdr:col>4</xdr:col>
      <xdr:colOff>965662</xdr:colOff>
      <xdr:row>41</xdr:row>
      <xdr:rowOff>84906</xdr:rowOff>
    </xdr:from>
    <xdr:to>
      <xdr:col>4</xdr:col>
      <xdr:colOff>2155093</xdr:colOff>
      <xdr:row>41</xdr:row>
      <xdr:rowOff>999468</xdr:rowOff>
    </xdr:to>
    <xdr:pic>
      <xdr:nvPicPr>
        <xdr:cNvPr id="96" name="Picture 9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421389" y="57079042"/>
          <a:ext cx="1189431" cy="914562"/>
        </a:xfrm>
        <a:prstGeom prst="rect">
          <a:avLst/>
        </a:prstGeom>
      </xdr:spPr>
    </xdr:pic>
    <xdr:clientData/>
  </xdr:twoCellAnchor>
  <xdr:twoCellAnchor editAs="oneCell">
    <xdr:from>
      <xdr:col>4</xdr:col>
      <xdr:colOff>987137</xdr:colOff>
      <xdr:row>40</xdr:row>
      <xdr:rowOff>241439</xdr:rowOff>
    </xdr:from>
    <xdr:to>
      <xdr:col>4</xdr:col>
      <xdr:colOff>2130137</xdr:colOff>
      <xdr:row>40</xdr:row>
      <xdr:rowOff>1168977</xdr:rowOff>
    </xdr:to>
    <xdr:pic>
      <xdr:nvPicPr>
        <xdr:cNvPr id="97" name="Picture 9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442864" y="55936712"/>
          <a:ext cx="1143000" cy="9275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1316181</xdr:colOff>
      <xdr:row>5</xdr:row>
      <xdr:rowOff>220864</xdr:rowOff>
    </xdr:from>
    <xdr:to>
      <xdr:col>4</xdr:col>
      <xdr:colOff>2320636</xdr:colOff>
      <xdr:row>5</xdr:row>
      <xdr:rowOff>1209831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71908" y="5225819"/>
          <a:ext cx="1004455" cy="988967"/>
        </a:xfrm>
        <a:prstGeom prst="rect">
          <a:avLst/>
        </a:prstGeom>
      </xdr:spPr>
    </xdr:pic>
    <xdr:clientData/>
  </xdr:twoCellAnchor>
  <xdr:twoCellAnchor editAs="oneCell">
    <xdr:from>
      <xdr:col>4</xdr:col>
      <xdr:colOff>1004454</xdr:colOff>
      <xdr:row>6</xdr:row>
      <xdr:rowOff>186226</xdr:rowOff>
    </xdr:from>
    <xdr:to>
      <xdr:col>4</xdr:col>
      <xdr:colOff>2008909</xdr:colOff>
      <xdr:row>6</xdr:row>
      <xdr:rowOff>1175193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43729" y="13064026"/>
          <a:ext cx="1004455" cy="988967"/>
        </a:xfrm>
        <a:prstGeom prst="rect">
          <a:avLst/>
        </a:prstGeom>
      </xdr:spPr>
    </xdr:pic>
    <xdr:clientData/>
  </xdr:twoCellAnchor>
  <xdr:twoCellAnchor editAs="oneCell">
    <xdr:from>
      <xdr:col>4</xdr:col>
      <xdr:colOff>1177637</xdr:colOff>
      <xdr:row>7</xdr:row>
      <xdr:rowOff>259772</xdr:rowOff>
    </xdr:from>
    <xdr:to>
      <xdr:col>4</xdr:col>
      <xdr:colOff>2116816</xdr:colOff>
      <xdr:row>7</xdr:row>
      <xdr:rowOff>1073727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633364" y="6598227"/>
          <a:ext cx="939179" cy="813955"/>
        </a:xfrm>
        <a:prstGeom prst="rect">
          <a:avLst/>
        </a:prstGeom>
      </xdr:spPr>
    </xdr:pic>
    <xdr:clientData/>
  </xdr:twoCellAnchor>
  <xdr:twoCellAnchor>
    <xdr:from>
      <xdr:col>4</xdr:col>
      <xdr:colOff>813954</xdr:colOff>
      <xdr:row>4</xdr:row>
      <xdr:rowOff>121227</xdr:rowOff>
    </xdr:from>
    <xdr:to>
      <xdr:col>4</xdr:col>
      <xdr:colOff>2805023</xdr:colOff>
      <xdr:row>4</xdr:row>
      <xdr:rowOff>1212274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77279" y="3864552"/>
          <a:ext cx="1991069" cy="109104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esktop/FMEA%20&#48143;%20&#49444;&#44228;%20&#54364;&#51456;%20&#52404;&#53356;&#47532;&#49828;&#53944;_&#51204;&#51116;&#4774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FMEA"/>
      <sheetName val="설계표준"/>
      <sheetName val="DATA"/>
      <sheetName val="DATA2"/>
      <sheetName val="Rev"/>
    </sheetNames>
    <sheetDataSet>
      <sheetData sheetId="0"/>
      <sheetData sheetId="1">
        <row r="1">
          <cell r="AR1" t="str">
            <v>해당없음</v>
          </cell>
          <cell r="AS1" t="str">
            <v>OK</v>
          </cell>
          <cell r="AT1" t="str">
            <v>NG</v>
          </cell>
        </row>
      </sheetData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3"/>
  <sheetViews>
    <sheetView showGridLines="0" tabSelected="1" zoomScale="55" zoomScaleNormal="55" zoomScaleSheetLayoutView="55" workbookViewId="0">
      <pane xSplit="3" ySplit="3" topLeftCell="D58" activePane="bottomRight" state="frozen"/>
      <selection pane="topRight" activeCell="E1" sqref="E1"/>
      <selection pane="bottomLeft" activeCell="A4" sqref="A4"/>
      <selection pane="bottomRight" activeCell="E14" sqref="E14"/>
    </sheetView>
  </sheetViews>
  <sheetFormatPr defaultColWidth="9.109375" defaultRowHeight="21"/>
  <cols>
    <col min="1" max="1" width="13.33203125" style="2" customWidth="1"/>
    <col min="2" max="2" width="57.5546875" style="92" customWidth="1"/>
    <col min="3" max="3" width="24.5546875" style="92" customWidth="1"/>
    <col min="4" max="4" width="46.109375" style="2" customWidth="1"/>
    <col min="5" max="5" width="52.44140625" style="2" customWidth="1"/>
    <col min="6" max="12" width="24.44140625" style="2" customWidth="1"/>
    <col min="13" max="13" width="23.5546875" style="2" customWidth="1"/>
    <col min="14" max="14" width="32.6640625" style="95" customWidth="1"/>
    <col min="15" max="15" width="33.6640625" style="95" customWidth="1"/>
    <col min="16" max="16" width="41.33203125" style="95" bestFit="1" customWidth="1"/>
    <col min="17" max="16384" width="9.109375" style="92"/>
  </cols>
  <sheetData>
    <row r="1" spans="1:16" ht="81.75" customHeight="1">
      <c r="A1" s="109" t="s">
        <v>23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</row>
    <row r="2" spans="1:16" ht="81.75" customHeight="1">
      <c r="A2" s="111" t="s">
        <v>0</v>
      </c>
      <c r="B2" s="111" t="s">
        <v>1</v>
      </c>
      <c r="C2" s="111" t="s">
        <v>2</v>
      </c>
      <c r="D2" s="111" t="s">
        <v>3</v>
      </c>
      <c r="E2" s="111" t="s">
        <v>4</v>
      </c>
      <c r="F2" s="111" t="s">
        <v>10</v>
      </c>
      <c r="G2" s="107"/>
      <c r="H2" s="108"/>
      <c r="I2" s="107"/>
      <c r="J2" s="108"/>
      <c r="K2" s="107"/>
      <c r="L2" s="108"/>
      <c r="M2" s="107"/>
      <c r="N2" s="108"/>
      <c r="O2" s="91"/>
      <c r="P2" s="91"/>
    </row>
    <row r="3" spans="1:16" ht="99.75" customHeight="1">
      <c r="A3" s="112"/>
      <c r="B3" s="112"/>
      <c r="C3" s="112"/>
      <c r="D3" s="112"/>
      <c r="E3" s="112"/>
      <c r="F3" s="112"/>
      <c r="G3" s="39" t="s">
        <v>17</v>
      </c>
      <c r="H3" s="10" t="s">
        <v>18</v>
      </c>
      <c r="I3" s="10"/>
      <c r="J3" s="10"/>
      <c r="K3" s="39" t="s">
        <v>17</v>
      </c>
      <c r="L3" s="10" t="s">
        <v>18</v>
      </c>
      <c r="M3" s="39" t="s">
        <v>17</v>
      </c>
      <c r="N3" s="10" t="s">
        <v>18</v>
      </c>
      <c r="O3" s="10" t="s">
        <v>5</v>
      </c>
      <c r="P3" s="9" t="s">
        <v>6</v>
      </c>
    </row>
    <row r="4" spans="1:16" ht="102.75" customHeight="1">
      <c r="A4" s="11"/>
      <c r="B4" s="12"/>
      <c r="C4" s="12"/>
      <c r="D4" s="12"/>
      <c r="E4" s="12"/>
      <c r="F4" s="12"/>
      <c r="G4" s="25"/>
      <c r="H4" s="25"/>
      <c r="I4" s="25"/>
      <c r="J4" s="25"/>
      <c r="K4" s="25"/>
      <c r="L4" s="25"/>
      <c r="M4" s="25"/>
      <c r="N4" s="26"/>
      <c r="O4" s="12"/>
      <c r="P4" s="8"/>
    </row>
    <row r="5" spans="1:16" ht="102.75" customHeight="1">
      <c r="A5" s="11"/>
      <c r="B5" s="12"/>
      <c r="C5" s="12"/>
      <c r="D5" s="12"/>
      <c r="E5" s="12"/>
      <c r="F5" s="12"/>
      <c r="G5" s="25"/>
      <c r="H5" s="25"/>
      <c r="I5" s="25"/>
      <c r="J5" s="25"/>
      <c r="K5" s="25"/>
      <c r="L5" s="25"/>
      <c r="M5" s="25"/>
      <c r="N5" s="26"/>
      <c r="O5" s="12"/>
      <c r="P5" s="8"/>
    </row>
    <row r="6" spans="1:16" ht="102.75" customHeight="1">
      <c r="A6" s="11"/>
      <c r="B6" s="12"/>
      <c r="C6" s="12"/>
      <c r="D6" s="12"/>
      <c r="E6" s="12"/>
      <c r="F6" s="12"/>
      <c r="G6" s="25"/>
      <c r="H6" s="25"/>
      <c r="I6" s="25"/>
      <c r="J6" s="25"/>
      <c r="K6" s="25"/>
      <c r="L6" s="25"/>
      <c r="M6" s="25"/>
      <c r="N6" s="26"/>
      <c r="O6" s="12"/>
      <c r="P6" s="27"/>
    </row>
    <row r="7" spans="1:16" ht="102.75" customHeight="1">
      <c r="A7" s="11"/>
      <c r="B7" s="12"/>
      <c r="C7" s="12"/>
      <c r="D7" s="12"/>
      <c r="E7" s="12"/>
      <c r="F7" s="12"/>
      <c r="G7" s="25"/>
      <c r="H7" s="25"/>
      <c r="I7" s="25"/>
      <c r="J7" s="25"/>
      <c r="K7" s="25"/>
      <c r="L7" s="25"/>
      <c r="M7" s="25"/>
      <c r="N7" s="26"/>
      <c r="O7" s="12"/>
      <c r="P7" s="27"/>
    </row>
    <row r="8" spans="1:16" ht="102.75" customHeight="1">
      <c r="A8" s="11"/>
      <c r="B8" s="12"/>
      <c r="C8" s="12"/>
      <c r="D8" s="12"/>
      <c r="E8" s="12"/>
      <c r="F8" s="12"/>
      <c r="G8" s="25"/>
      <c r="H8" s="25"/>
      <c r="I8" s="25"/>
      <c r="J8" s="25"/>
      <c r="K8" s="25"/>
      <c r="L8" s="25"/>
      <c r="M8" s="25"/>
      <c r="N8" s="26"/>
      <c r="O8" s="12"/>
      <c r="P8" s="27"/>
    </row>
    <row r="9" spans="1:16" ht="102.75" customHeight="1">
      <c r="A9" s="11"/>
      <c r="B9" s="12"/>
      <c r="C9" s="12"/>
      <c r="D9" s="12"/>
      <c r="E9" s="12"/>
      <c r="F9" s="12"/>
      <c r="G9" s="25"/>
      <c r="H9" s="25"/>
      <c r="I9" s="25"/>
      <c r="J9" s="25"/>
      <c r="K9" s="25"/>
      <c r="L9" s="25"/>
      <c r="M9" s="25"/>
      <c r="N9" s="26"/>
      <c r="O9" s="12"/>
      <c r="P9" s="27"/>
    </row>
    <row r="10" spans="1:16" ht="102.75" customHeight="1">
      <c r="A10" s="11"/>
      <c r="B10" s="12"/>
      <c r="C10" s="12"/>
      <c r="D10" s="12"/>
      <c r="E10" s="12"/>
      <c r="F10" s="12"/>
      <c r="G10" s="25"/>
      <c r="H10" s="25"/>
      <c r="I10" s="25"/>
      <c r="J10" s="25"/>
      <c r="K10" s="25"/>
      <c r="L10" s="25"/>
      <c r="M10" s="25"/>
      <c r="N10" s="26"/>
      <c r="O10" s="12"/>
      <c r="P10" s="27"/>
    </row>
    <row r="11" spans="1:16" ht="102.75" customHeight="1">
      <c r="A11" s="11"/>
      <c r="B11" s="12"/>
      <c r="C11" s="12"/>
      <c r="D11" s="12"/>
      <c r="E11" s="12"/>
      <c r="F11" s="12"/>
      <c r="G11" s="25"/>
      <c r="H11" s="25"/>
      <c r="I11" s="25"/>
      <c r="J11" s="25"/>
      <c r="K11" s="25"/>
      <c r="L11" s="25"/>
      <c r="M11" s="25"/>
      <c r="N11" s="26"/>
      <c r="O11" s="12"/>
      <c r="P11" s="27"/>
    </row>
    <row r="12" spans="1:16" ht="102.75" customHeight="1">
      <c r="A12" s="11"/>
      <c r="B12" s="12"/>
      <c r="C12" s="12"/>
      <c r="D12" s="12"/>
      <c r="E12" s="12"/>
      <c r="F12" s="12"/>
      <c r="G12" s="25"/>
      <c r="H12" s="25"/>
      <c r="I12" s="25"/>
      <c r="J12" s="25"/>
      <c r="K12" s="25"/>
      <c r="L12" s="25"/>
      <c r="M12" s="25"/>
      <c r="N12" s="26"/>
      <c r="O12" s="12"/>
      <c r="P12" s="27"/>
    </row>
    <row r="13" spans="1:16" ht="102.75" customHeight="1">
      <c r="A13" s="11"/>
      <c r="B13" s="12"/>
      <c r="C13" s="12"/>
      <c r="D13" s="12"/>
      <c r="E13" s="12"/>
      <c r="F13" s="12"/>
      <c r="G13" s="25"/>
      <c r="H13" s="25"/>
      <c r="I13" s="25"/>
      <c r="J13" s="25"/>
      <c r="K13" s="25"/>
      <c r="L13" s="25"/>
      <c r="M13" s="25"/>
      <c r="N13" s="26"/>
      <c r="O13" s="12"/>
      <c r="P13" s="8"/>
    </row>
    <row r="14" spans="1:16" ht="102.75" customHeight="1">
      <c r="A14" s="11"/>
      <c r="B14" s="12"/>
      <c r="C14" s="12"/>
      <c r="D14" s="12"/>
      <c r="E14" s="12"/>
      <c r="F14" s="12"/>
      <c r="G14" s="25"/>
      <c r="H14" s="25"/>
      <c r="I14" s="25"/>
      <c r="J14" s="25"/>
      <c r="K14" s="25"/>
      <c r="L14" s="25"/>
      <c r="M14" s="25"/>
      <c r="N14" s="26"/>
      <c r="O14" s="12"/>
      <c r="P14" s="8"/>
    </row>
    <row r="15" spans="1:16" ht="102.75" customHeight="1">
      <c r="A15" s="11"/>
      <c r="B15" s="12"/>
      <c r="C15" s="12"/>
      <c r="D15" s="12"/>
      <c r="E15" s="12"/>
      <c r="F15" s="12"/>
      <c r="G15" s="25"/>
      <c r="H15" s="25"/>
      <c r="I15" s="25"/>
      <c r="J15" s="25"/>
      <c r="K15" s="25"/>
      <c r="L15" s="25"/>
      <c r="M15" s="25"/>
      <c r="N15" s="26"/>
      <c r="O15" s="12"/>
      <c r="P15" s="8"/>
    </row>
    <row r="16" spans="1:16" ht="102.75" customHeight="1">
      <c r="A16" s="11"/>
      <c r="B16" s="12"/>
      <c r="C16" s="12"/>
      <c r="D16" s="12"/>
      <c r="E16" s="12"/>
      <c r="F16" s="12"/>
      <c r="G16" s="25"/>
      <c r="H16" s="25"/>
      <c r="I16" s="25"/>
      <c r="J16" s="25"/>
      <c r="K16" s="25"/>
      <c r="L16" s="25"/>
      <c r="M16" s="25"/>
      <c r="N16" s="26"/>
      <c r="O16" s="12"/>
      <c r="P16" s="8"/>
    </row>
    <row r="17" spans="1:16" ht="102.75" customHeight="1">
      <c r="A17" s="11"/>
      <c r="B17" s="12"/>
      <c r="C17" s="12"/>
      <c r="D17" s="12"/>
      <c r="E17" s="12"/>
      <c r="F17" s="12"/>
      <c r="G17" s="25"/>
      <c r="H17" s="25"/>
      <c r="I17" s="25"/>
      <c r="J17" s="25"/>
      <c r="K17" s="25"/>
      <c r="L17" s="25"/>
      <c r="M17" s="25"/>
      <c r="N17" s="26"/>
      <c r="O17" s="12"/>
      <c r="P17" s="8"/>
    </row>
    <row r="18" spans="1:16" ht="102.75" customHeight="1">
      <c r="A18" s="11"/>
      <c r="B18" s="12"/>
      <c r="C18" s="12"/>
      <c r="D18" s="12"/>
      <c r="E18" s="12"/>
      <c r="F18" s="12"/>
      <c r="G18" s="25"/>
      <c r="H18" s="25"/>
      <c r="I18" s="25"/>
      <c r="J18" s="25"/>
      <c r="K18" s="25"/>
      <c r="L18" s="25"/>
      <c r="M18" s="25"/>
      <c r="N18" s="26"/>
      <c r="O18" s="12"/>
      <c r="P18" s="8"/>
    </row>
    <row r="19" spans="1:16" ht="102.75" customHeight="1">
      <c r="A19" s="11"/>
      <c r="B19" s="12"/>
      <c r="C19" s="12"/>
      <c r="D19" s="12"/>
      <c r="E19" s="12"/>
      <c r="F19" s="12"/>
      <c r="G19" s="25"/>
      <c r="H19" s="25"/>
      <c r="I19" s="25"/>
      <c r="J19" s="25"/>
      <c r="K19" s="25"/>
      <c r="L19" s="25"/>
      <c r="M19" s="25"/>
      <c r="N19" s="26"/>
      <c r="O19" s="12"/>
      <c r="P19" s="8"/>
    </row>
    <row r="20" spans="1:16" ht="102.75" customHeight="1">
      <c r="A20" s="11"/>
      <c r="B20" s="12"/>
      <c r="C20" s="12"/>
      <c r="D20" s="12"/>
      <c r="E20" s="12"/>
      <c r="F20" s="12"/>
      <c r="G20" s="25"/>
      <c r="H20" s="25"/>
      <c r="I20" s="25"/>
      <c r="J20" s="25"/>
      <c r="K20" s="25"/>
      <c r="L20" s="25"/>
      <c r="M20" s="25"/>
      <c r="N20" s="26"/>
      <c r="O20" s="12"/>
      <c r="P20" s="8"/>
    </row>
    <row r="21" spans="1:16" ht="102.75" customHeight="1">
      <c r="A21" s="11"/>
      <c r="B21" s="12"/>
      <c r="C21" s="12"/>
      <c r="D21" s="12"/>
      <c r="E21" s="12"/>
      <c r="F21" s="12"/>
      <c r="G21" s="25"/>
      <c r="H21" s="25"/>
      <c r="I21" s="25"/>
      <c r="J21" s="25"/>
      <c r="K21" s="25"/>
      <c r="L21" s="25"/>
      <c r="M21" s="25"/>
      <c r="N21" s="26"/>
      <c r="O21" s="12"/>
      <c r="P21" s="8"/>
    </row>
    <row r="22" spans="1:16" ht="102.75" customHeight="1">
      <c r="A22" s="11"/>
      <c r="B22" s="12"/>
      <c r="C22" s="12"/>
      <c r="D22" s="12"/>
      <c r="E22" s="12"/>
      <c r="F22" s="12"/>
      <c r="G22" s="25"/>
      <c r="H22" s="25"/>
      <c r="I22" s="25"/>
      <c r="J22" s="25"/>
      <c r="K22" s="25"/>
      <c r="L22" s="25"/>
      <c r="M22" s="25"/>
      <c r="N22" s="26"/>
      <c r="O22" s="12"/>
      <c r="P22" s="27"/>
    </row>
    <row r="23" spans="1:16" ht="102.75" customHeight="1">
      <c r="A23" s="11"/>
      <c r="B23" s="12"/>
      <c r="C23" s="12"/>
      <c r="D23" s="12"/>
      <c r="E23" s="12"/>
      <c r="F23" s="12"/>
      <c r="G23" s="25"/>
      <c r="H23" s="25"/>
      <c r="I23" s="25"/>
      <c r="J23" s="25"/>
      <c r="K23" s="25"/>
      <c r="L23" s="25"/>
      <c r="M23" s="25"/>
      <c r="N23" s="26"/>
      <c r="O23" s="12"/>
      <c r="P23" s="33"/>
    </row>
    <row r="24" spans="1:16" ht="102.75" customHeight="1">
      <c r="A24" s="11"/>
      <c r="B24" s="12"/>
      <c r="C24" s="12"/>
      <c r="D24" s="12"/>
      <c r="E24" s="12"/>
      <c r="F24" s="12"/>
      <c r="G24" s="25"/>
      <c r="H24" s="25"/>
      <c r="I24" s="25"/>
      <c r="J24" s="25"/>
      <c r="K24" s="25"/>
      <c r="L24" s="25"/>
      <c r="M24" s="25"/>
      <c r="N24" s="26"/>
      <c r="O24" s="12"/>
      <c r="P24" s="33"/>
    </row>
    <row r="25" spans="1:16" ht="102.75" customHeight="1">
      <c r="A25" s="11"/>
      <c r="B25" s="12"/>
      <c r="C25" s="12"/>
      <c r="D25" s="12"/>
      <c r="E25" s="12"/>
      <c r="F25" s="12"/>
      <c r="G25" s="25"/>
      <c r="H25" s="25"/>
      <c r="I25" s="25"/>
      <c r="J25" s="25"/>
      <c r="K25" s="25"/>
      <c r="L25" s="25"/>
      <c r="M25" s="25"/>
      <c r="N25" s="26"/>
      <c r="O25" s="12"/>
      <c r="P25" s="8"/>
    </row>
    <row r="26" spans="1:16" ht="102.75" customHeight="1">
      <c r="A26" s="11"/>
      <c r="B26" s="12"/>
      <c r="C26" s="12"/>
      <c r="D26" s="12"/>
      <c r="E26" s="12"/>
      <c r="F26" s="12"/>
      <c r="G26" s="25"/>
      <c r="H26" s="25"/>
      <c r="I26" s="25"/>
      <c r="J26" s="25"/>
      <c r="K26" s="25"/>
      <c r="L26" s="25"/>
      <c r="M26" s="25"/>
      <c r="N26" s="26"/>
      <c r="O26" s="12"/>
      <c r="P26" s="34"/>
    </row>
    <row r="27" spans="1:16" ht="102.75" customHeight="1">
      <c r="A27" s="11"/>
      <c r="B27" s="12"/>
      <c r="C27" s="12"/>
      <c r="D27" s="12"/>
      <c r="E27" s="12"/>
      <c r="F27" s="12"/>
      <c r="G27" s="25"/>
      <c r="H27" s="25"/>
      <c r="I27" s="25"/>
      <c r="J27" s="25"/>
      <c r="K27" s="25"/>
      <c r="L27" s="25"/>
      <c r="M27" s="25"/>
      <c r="N27" s="26"/>
      <c r="O27" s="12"/>
      <c r="P27" s="34"/>
    </row>
    <row r="28" spans="1:16" ht="102.75" customHeight="1">
      <c r="A28" s="11"/>
      <c r="B28" s="12"/>
      <c r="C28" s="12"/>
      <c r="D28" s="12"/>
      <c r="E28" s="12"/>
      <c r="F28" s="12"/>
      <c r="G28" s="25"/>
      <c r="H28" s="25"/>
      <c r="I28" s="25"/>
      <c r="J28" s="25"/>
      <c r="K28" s="25"/>
      <c r="L28" s="25"/>
      <c r="M28" s="25"/>
      <c r="N28" s="26"/>
      <c r="O28" s="12"/>
      <c r="P28" s="34"/>
    </row>
    <row r="29" spans="1:16" ht="102.75" customHeight="1">
      <c r="A29" s="11"/>
      <c r="B29" s="12"/>
      <c r="C29" s="12"/>
      <c r="D29" s="12"/>
      <c r="E29" s="12"/>
      <c r="F29" s="12"/>
      <c r="G29" s="25"/>
      <c r="H29" s="25"/>
      <c r="I29" s="25"/>
      <c r="J29" s="25"/>
      <c r="K29" s="25"/>
      <c r="L29" s="25"/>
      <c r="M29" s="25"/>
      <c r="N29" s="26"/>
      <c r="O29" s="12"/>
      <c r="P29" s="34"/>
    </row>
    <row r="30" spans="1:16" ht="102.75" customHeight="1">
      <c r="A30" s="11"/>
      <c r="B30" s="12"/>
      <c r="C30" s="12"/>
      <c r="D30" s="12"/>
      <c r="E30" s="12"/>
      <c r="F30" s="12"/>
      <c r="G30" s="25"/>
      <c r="H30" s="25"/>
      <c r="I30" s="25"/>
      <c r="J30" s="25"/>
      <c r="K30" s="25"/>
      <c r="L30" s="25"/>
      <c r="M30" s="25"/>
      <c r="N30" s="26"/>
      <c r="O30" s="12"/>
      <c r="P30" s="34"/>
    </row>
    <row r="31" spans="1:16" ht="102.75" customHeight="1">
      <c r="A31" s="11"/>
      <c r="B31" s="12"/>
      <c r="C31" s="12"/>
      <c r="D31" s="12"/>
      <c r="E31" s="12"/>
      <c r="F31" s="12"/>
      <c r="G31" s="25"/>
      <c r="H31" s="25"/>
      <c r="I31" s="25"/>
      <c r="J31" s="25"/>
      <c r="K31" s="25"/>
      <c r="L31" s="25"/>
      <c r="M31" s="25"/>
      <c r="N31" s="26"/>
      <c r="O31" s="12"/>
      <c r="P31" s="34"/>
    </row>
    <row r="32" spans="1:16" ht="102.75" customHeight="1">
      <c r="A32" s="11"/>
      <c r="B32" s="12"/>
      <c r="C32" s="12"/>
      <c r="D32" s="12"/>
      <c r="E32" s="12"/>
      <c r="F32" s="12"/>
      <c r="G32" s="25"/>
      <c r="H32" s="25"/>
      <c r="I32" s="25"/>
      <c r="J32" s="25"/>
      <c r="K32" s="25"/>
      <c r="L32" s="25"/>
      <c r="M32" s="25"/>
      <c r="N32" s="26"/>
      <c r="O32" s="12"/>
      <c r="P32" s="27"/>
    </row>
    <row r="33" spans="1:16" ht="102.75" customHeight="1">
      <c r="A33" s="11"/>
      <c r="B33" s="12"/>
      <c r="C33" s="12"/>
      <c r="D33" s="12"/>
      <c r="E33" s="12"/>
      <c r="F33" s="12"/>
      <c r="G33" s="25"/>
      <c r="H33" s="25"/>
      <c r="I33" s="25"/>
      <c r="J33" s="25"/>
      <c r="K33" s="25"/>
      <c r="L33" s="25"/>
      <c r="M33" s="25"/>
      <c r="N33" s="26"/>
      <c r="O33" s="12"/>
      <c r="P33" s="34"/>
    </row>
    <row r="34" spans="1:16" ht="102.75" customHeight="1">
      <c r="A34" s="11"/>
      <c r="B34" s="12"/>
      <c r="C34" s="12"/>
      <c r="D34" s="12"/>
      <c r="E34" s="12"/>
      <c r="F34" s="12"/>
      <c r="G34" s="25"/>
      <c r="H34" s="25"/>
      <c r="I34" s="25"/>
      <c r="J34" s="25"/>
      <c r="K34" s="25"/>
      <c r="L34" s="25"/>
      <c r="M34" s="25"/>
      <c r="N34" s="26"/>
      <c r="O34" s="12"/>
      <c r="P34" s="34"/>
    </row>
    <row r="35" spans="1:16" ht="102.75" customHeight="1">
      <c r="A35" s="11"/>
      <c r="B35" s="12"/>
      <c r="C35" s="12"/>
      <c r="D35" s="12"/>
      <c r="E35" s="12"/>
      <c r="F35" s="12"/>
      <c r="G35" s="25"/>
      <c r="H35" s="25"/>
      <c r="I35" s="25"/>
      <c r="J35" s="25"/>
      <c r="K35" s="25"/>
      <c r="L35" s="25"/>
      <c r="M35" s="25"/>
      <c r="N35" s="26"/>
      <c r="O35" s="12"/>
      <c r="P35" s="34"/>
    </row>
    <row r="36" spans="1:16" ht="102.75" customHeight="1">
      <c r="A36" s="11"/>
      <c r="B36" s="12"/>
      <c r="C36" s="12"/>
      <c r="D36" s="12"/>
      <c r="E36" s="12"/>
      <c r="F36" s="12"/>
      <c r="G36" s="25"/>
      <c r="H36" s="25"/>
      <c r="I36" s="25"/>
      <c r="J36" s="25"/>
      <c r="K36" s="25"/>
      <c r="L36" s="25"/>
      <c r="M36" s="25"/>
      <c r="N36" s="26"/>
      <c r="O36" s="12"/>
      <c r="P36" s="34"/>
    </row>
    <row r="37" spans="1:16" ht="102.75" customHeight="1">
      <c r="A37" s="11"/>
      <c r="B37" s="12"/>
      <c r="C37" s="12"/>
      <c r="D37" s="12"/>
      <c r="E37" s="12"/>
      <c r="F37" s="12"/>
      <c r="G37" s="25"/>
      <c r="H37" s="25"/>
      <c r="I37" s="25"/>
      <c r="J37" s="25"/>
      <c r="K37" s="25"/>
      <c r="L37" s="25"/>
      <c r="M37" s="25"/>
      <c r="N37" s="26"/>
      <c r="O37" s="12"/>
      <c r="P37" s="27"/>
    </row>
    <row r="38" spans="1:16" ht="102.75" customHeight="1">
      <c r="A38" s="11"/>
      <c r="B38" s="12"/>
      <c r="C38" s="12"/>
      <c r="D38" s="12"/>
      <c r="E38" s="12"/>
      <c r="F38" s="12"/>
      <c r="G38" s="25"/>
      <c r="H38" s="25"/>
      <c r="I38" s="25"/>
      <c r="J38" s="25"/>
      <c r="K38" s="25"/>
      <c r="L38" s="25"/>
      <c r="M38" s="25"/>
      <c r="N38" s="26"/>
      <c r="O38" s="12"/>
      <c r="P38" s="27"/>
    </row>
    <row r="39" spans="1:16" ht="102.75" customHeight="1">
      <c r="A39" s="11"/>
      <c r="B39" s="12"/>
      <c r="C39" s="12"/>
      <c r="D39" s="12"/>
      <c r="E39" s="12"/>
      <c r="F39" s="12"/>
      <c r="G39" s="25"/>
      <c r="H39" s="25"/>
      <c r="I39" s="25"/>
      <c r="J39" s="25"/>
      <c r="K39" s="25"/>
      <c r="L39" s="25"/>
      <c r="M39" s="25"/>
      <c r="N39" s="26"/>
      <c r="O39" s="12"/>
      <c r="P39" s="8"/>
    </row>
    <row r="40" spans="1:16" ht="102.75" customHeight="1">
      <c r="A40" s="11"/>
      <c r="B40" s="12"/>
      <c r="C40" s="12"/>
      <c r="D40" s="12"/>
      <c r="E40" s="12"/>
      <c r="F40" s="12"/>
      <c r="G40" s="25"/>
      <c r="H40" s="25"/>
      <c r="I40" s="25"/>
      <c r="J40" s="25"/>
      <c r="K40" s="25"/>
      <c r="L40" s="25"/>
      <c r="M40" s="25"/>
      <c r="N40" s="26"/>
      <c r="O40" s="12"/>
      <c r="P40" s="8"/>
    </row>
    <row r="41" spans="1:16" ht="102.75" customHeight="1">
      <c r="A41" s="11"/>
      <c r="B41" s="12"/>
      <c r="C41" s="12"/>
      <c r="D41" s="40"/>
      <c r="E41" s="12"/>
      <c r="F41" s="12"/>
      <c r="G41" s="25"/>
      <c r="H41" s="25"/>
      <c r="I41" s="25"/>
      <c r="J41" s="25"/>
      <c r="K41" s="25"/>
      <c r="L41" s="25"/>
      <c r="M41" s="25"/>
      <c r="N41" s="26"/>
      <c r="O41" s="12"/>
      <c r="P41" s="27"/>
    </row>
    <row r="42" spans="1:16" ht="102.75" customHeight="1">
      <c r="A42" s="11"/>
      <c r="B42" s="12"/>
      <c r="C42" s="12"/>
      <c r="D42" s="40"/>
      <c r="E42" s="12"/>
      <c r="F42" s="12"/>
      <c r="G42" s="25"/>
      <c r="H42" s="25"/>
      <c r="I42" s="25"/>
      <c r="J42" s="25"/>
      <c r="K42" s="25"/>
      <c r="L42" s="25"/>
      <c r="M42" s="25"/>
      <c r="N42" s="26"/>
      <c r="O42" s="12"/>
      <c r="P42" s="27"/>
    </row>
    <row r="43" spans="1:16" ht="102.75" customHeight="1">
      <c r="A43" s="11"/>
      <c r="B43" s="12"/>
      <c r="C43" s="12"/>
      <c r="D43" s="40"/>
      <c r="E43" s="12"/>
      <c r="F43" s="12"/>
      <c r="G43" s="25"/>
      <c r="H43" s="25"/>
      <c r="I43" s="25"/>
      <c r="J43" s="25"/>
      <c r="K43" s="25"/>
      <c r="L43" s="25"/>
      <c r="M43" s="25"/>
      <c r="N43" s="26"/>
      <c r="O43" s="12"/>
      <c r="P43" s="27"/>
    </row>
    <row r="44" spans="1:16" ht="102.75" customHeight="1">
      <c r="A44" s="11"/>
      <c r="B44" s="12"/>
      <c r="C44" s="12"/>
      <c r="D44" s="5"/>
      <c r="E44" s="12"/>
      <c r="F44" s="12"/>
      <c r="G44" s="25"/>
      <c r="H44" s="25"/>
      <c r="I44" s="25"/>
      <c r="J44" s="25"/>
      <c r="K44" s="25"/>
      <c r="L44" s="25"/>
      <c r="M44" s="25"/>
      <c r="N44" s="26"/>
      <c r="O44" s="12"/>
      <c r="P44" s="27"/>
    </row>
    <row r="45" spans="1:16" ht="102.75" customHeight="1">
      <c r="A45" s="11"/>
      <c r="B45" s="6"/>
      <c r="C45" s="12"/>
      <c r="D45" s="5"/>
      <c r="E45" s="12"/>
      <c r="F45" s="12"/>
      <c r="G45" s="25"/>
      <c r="H45" s="25"/>
      <c r="I45" s="25"/>
      <c r="J45" s="25"/>
      <c r="K45" s="25"/>
      <c r="L45" s="25"/>
      <c r="M45" s="25"/>
      <c r="N45" s="26"/>
      <c r="O45" s="12"/>
      <c r="P45" s="7"/>
    </row>
    <row r="46" spans="1:16" ht="102.75" customHeight="1">
      <c r="A46" s="11"/>
      <c r="B46" s="6"/>
      <c r="C46" s="12"/>
      <c r="D46" s="6"/>
      <c r="E46" s="12"/>
      <c r="F46" s="12"/>
      <c r="G46" s="25"/>
      <c r="H46" s="25"/>
      <c r="I46" s="25"/>
      <c r="J46" s="25"/>
      <c r="K46" s="25"/>
      <c r="L46" s="25"/>
      <c r="M46" s="25"/>
      <c r="N46" s="26"/>
      <c r="O46" s="12"/>
      <c r="P46" s="7"/>
    </row>
    <row r="47" spans="1:16" ht="102.75" customHeight="1">
      <c r="A47" s="11"/>
      <c r="B47" s="12"/>
      <c r="C47" s="12"/>
      <c r="D47" s="12"/>
      <c r="E47" s="12"/>
      <c r="F47" s="12"/>
      <c r="G47" s="25"/>
      <c r="H47" s="25"/>
      <c r="I47" s="25"/>
      <c r="J47" s="25"/>
      <c r="K47" s="25"/>
      <c r="L47" s="25"/>
      <c r="M47" s="25"/>
      <c r="N47" s="26"/>
      <c r="O47" s="12"/>
      <c r="P47" s="7"/>
    </row>
    <row r="48" spans="1:16" ht="84" customHeight="1">
      <c r="A48" s="11"/>
      <c r="B48" s="12"/>
      <c r="C48" s="12"/>
      <c r="D48" s="12"/>
      <c r="E48" s="12"/>
      <c r="F48" s="12"/>
      <c r="G48" s="25"/>
      <c r="H48" s="25"/>
      <c r="I48" s="25"/>
      <c r="J48" s="25"/>
      <c r="K48" s="25"/>
      <c r="L48" s="25"/>
      <c r="M48" s="25"/>
      <c r="N48" s="26"/>
      <c r="O48" s="12"/>
      <c r="P48" s="27"/>
    </row>
    <row r="49" spans="1:16" ht="84" customHeight="1">
      <c r="A49" s="11"/>
      <c r="B49" s="12"/>
      <c r="C49" s="28"/>
      <c r="D49" s="28"/>
      <c r="E49" s="12"/>
      <c r="F49" s="12"/>
      <c r="G49" s="25"/>
      <c r="H49" s="25"/>
      <c r="I49" s="25"/>
      <c r="J49" s="25"/>
      <c r="K49" s="25"/>
      <c r="L49" s="25"/>
      <c r="M49" s="25"/>
      <c r="N49" s="26"/>
      <c r="O49" s="12"/>
      <c r="P49" s="7"/>
    </row>
    <row r="50" spans="1:16" ht="84" customHeight="1">
      <c r="A50" s="11"/>
      <c r="B50" s="12"/>
      <c r="C50" s="12"/>
      <c r="D50" s="12"/>
      <c r="E50" s="12"/>
      <c r="F50" s="12"/>
      <c r="G50" s="25"/>
      <c r="H50" s="25"/>
      <c r="I50" s="25"/>
      <c r="J50" s="25"/>
      <c r="K50" s="25"/>
      <c r="L50" s="25"/>
      <c r="M50" s="25"/>
      <c r="N50" s="26"/>
      <c r="O50" s="12"/>
      <c r="P50" s="7"/>
    </row>
    <row r="51" spans="1:16" ht="84" customHeight="1">
      <c r="A51" s="11"/>
      <c r="B51" s="12"/>
      <c r="C51" s="12"/>
      <c r="D51" s="12"/>
      <c r="E51" s="12"/>
      <c r="F51" s="12"/>
      <c r="G51" s="25"/>
      <c r="H51" s="25"/>
      <c r="I51" s="25"/>
      <c r="J51" s="25"/>
      <c r="K51" s="25"/>
      <c r="L51" s="25"/>
      <c r="M51" s="25"/>
      <c r="N51" s="26"/>
      <c r="O51" s="12"/>
      <c r="P51" s="27"/>
    </row>
    <row r="52" spans="1:16" ht="100.5" customHeight="1">
      <c r="A52" s="11"/>
      <c r="B52" s="12"/>
      <c r="C52" s="12"/>
      <c r="D52" s="12"/>
      <c r="E52" s="12"/>
      <c r="F52" s="12"/>
      <c r="G52" s="25"/>
      <c r="H52" s="25"/>
      <c r="I52" s="25"/>
      <c r="J52" s="25"/>
      <c r="K52" s="25"/>
      <c r="L52" s="25"/>
      <c r="M52" s="25"/>
      <c r="N52" s="26"/>
      <c r="O52" s="12"/>
      <c r="P52" s="7"/>
    </row>
    <row r="53" spans="1:16" ht="100.5" customHeight="1">
      <c r="A53" s="11"/>
      <c r="B53" s="12"/>
      <c r="C53" s="12"/>
      <c r="D53" s="12"/>
      <c r="E53" s="12"/>
      <c r="F53" s="12"/>
      <c r="G53" s="25"/>
      <c r="H53" s="25"/>
      <c r="I53" s="25"/>
      <c r="J53" s="25"/>
      <c r="K53" s="25"/>
      <c r="L53" s="25"/>
      <c r="M53" s="25"/>
      <c r="N53" s="26"/>
      <c r="O53" s="12"/>
      <c r="P53" s="7"/>
    </row>
    <row r="54" spans="1:16" ht="100.5" customHeight="1">
      <c r="A54" s="11"/>
      <c r="B54" s="12"/>
      <c r="C54" s="12"/>
      <c r="D54" s="12"/>
      <c r="E54" s="12"/>
      <c r="F54" s="12"/>
      <c r="G54" s="25"/>
      <c r="H54" s="25"/>
      <c r="I54" s="25"/>
      <c r="J54" s="25"/>
      <c r="K54" s="25"/>
      <c r="L54" s="25"/>
      <c r="M54" s="25"/>
      <c r="N54" s="26"/>
      <c r="O54" s="12"/>
      <c r="P54" s="27"/>
    </row>
    <row r="55" spans="1:16" ht="100.5" customHeight="1">
      <c r="A55" s="11"/>
      <c r="B55" s="12"/>
      <c r="C55" s="12"/>
      <c r="D55" s="12"/>
      <c r="E55" s="12"/>
      <c r="F55" s="12"/>
      <c r="G55" s="25"/>
      <c r="H55" s="25"/>
      <c r="I55" s="25"/>
      <c r="J55" s="25"/>
      <c r="K55" s="25"/>
      <c r="L55" s="25"/>
      <c r="M55" s="25"/>
      <c r="N55" s="26"/>
      <c r="O55" s="12"/>
      <c r="P55" s="7"/>
    </row>
    <row r="56" spans="1:16" ht="100.5" customHeight="1">
      <c r="A56" s="11"/>
      <c r="B56" s="12"/>
      <c r="C56" s="29"/>
      <c r="D56" s="29"/>
      <c r="E56" s="12"/>
      <c r="F56" s="12"/>
      <c r="G56" s="25"/>
      <c r="H56" s="25"/>
      <c r="I56" s="25"/>
      <c r="J56" s="25"/>
      <c r="K56" s="25"/>
      <c r="L56" s="25"/>
      <c r="M56" s="25"/>
      <c r="N56" s="26"/>
      <c r="O56" s="12"/>
      <c r="P56" s="8"/>
    </row>
    <row r="57" spans="1:16" ht="100.5" customHeight="1">
      <c r="A57" s="11"/>
      <c r="B57" s="12"/>
      <c r="C57" s="12"/>
      <c r="D57" s="12"/>
      <c r="E57" s="12"/>
      <c r="F57" s="12"/>
      <c r="G57" s="25"/>
      <c r="H57" s="25"/>
      <c r="I57" s="25"/>
      <c r="J57" s="25"/>
      <c r="K57" s="25"/>
      <c r="L57" s="25"/>
      <c r="M57" s="25"/>
      <c r="N57" s="26"/>
      <c r="O57" s="12"/>
      <c r="P57" s="7"/>
    </row>
    <row r="58" spans="1:16" ht="100.5" customHeight="1">
      <c r="A58" s="11"/>
      <c r="B58" s="12"/>
      <c r="C58" s="12"/>
      <c r="D58" s="12"/>
      <c r="E58" s="12"/>
      <c r="F58" s="12"/>
      <c r="G58" s="25"/>
      <c r="H58" s="25"/>
      <c r="I58" s="25"/>
      <c r="J58" s="25"/>
      <c r="K58" s="25"/>
      <c r="L58" s="25"/>
      <c r="M58" s="25"/>
      <c r="N58" s="26"/>
      <c r="O58" s="12"/>
      <c r="P58" s="27"/>
    </row>
    <row r="59" spans="1:16" ht="100.5" customHeight="1">
      <c r="A59" s="11"/>
      <c r="B59" s="12"/>
      <c r="C59" s="12"/>
      <c r="D59" s="12"/>
      <c r="E59" s="12"/>
      <c r="F59" s="12"/>
      <c r="G59" s="25"/>
      <c r="H59" s="25"/>
      <c r="I59" s="25"/>
      <c r="J59" s="25"/>
      <c r="K59" s="25"/>
      <c r="L59" s="25"/>
      <c r="M59" s="25"/>
      <c r="N59" s="26"/>
      <c r="O59" s="12"/>
      <c r="P59" s="27"/>
    </row>
    <row r="60" spans="1:16" ht="100.5" customHeight="1">
      <c r="A60" s="11"/>
      <c r="B60" s="12"/>
      <c r="C60" s="12"/>
      <c r="D60" s="12"/>
      <c r="E60" s="12"/>
      <c r="F60" s="12"/>
      <c r="G60" s="25"/>
      <c r="H60" s="25"/>
      <c r="I60" s="25"/>
      <c r="J60" s="25"/>
      <c r="K60" s="25"/>
      <c r="L60" s="25"/>
      <c r="M60" s="25"/>
      <c r="N60" s="26"/>
      <c r="O60" s="12"/>
      <c r="P60" s="31"/>
    </row>
    <row r="61" spans="1:16" ht="100.5" customHeight="1">
      <c r="A61" s="11"/>
      <c r="B61" s="12"/>
      <c r="C61" s="12"/>
      <c r="D61" s="12"/>
      <c r="E61" s="12"/>
      <c r="F61" s="12"/>
      <c r="G61" s="25"/>
      <c r="H61" s="25"/>
      <c r="I61" s="25"/>
      <c r="J61" s="25"/>
      <c r="K61" s="25"/>
      <c r="L61" s="25"/>
      <c r="M61" s="25"/>
      <c r="N61" s="26"/>
      <c r="O61" s="12"/>
      <c r="P61" s="31"/>
    </row>
    <row r="62" spans="1:16" ht="100.5" customHeight="1">
      <c r="A62" s="11"/>
      <c r="B62" s="6"/>
      <c r="C62" s="5"/>
      <c r="D62" s="5"/>
      <c r="E62" s="12"/>
      <c r="F62" s="12"/>
      <c r="G62" s="25"/>
      <c r="H62" s="25"/>
      <c r="I62" s="25"/>
      <c r="J62" s="25"/>
      <c r="K62" s="25"/>
      <c r="L62" s="25"/>
      <c r="M62" s="25"/>
      <c r="N62" s="26"/>
      <c r="O62" s="12"/>
      <c r="P62" s="8"/>
    </row>
    <row r="63" spans="1:16" ht="100.5" customHeight="1">
      <c r="A63" s="11"/>
      <c r="B63" s="5"/>
      <c r="C63" s="12"/>
      <c r="D63" s="12"/>
      <c r="E63" s="32"/>
      <c r="F63" s="12"/>
      <c r="G63" s="25"/>
      <c r="H63" s="25"/>
      <c r="I63" s="25"/>
      <c r="J63" s="25"/>
      <c r="K63" s="25"/>
      <c r="L63" s="25"/>
      <c r="M63" s="25"/>
      <c r="N63" s="26"/>
      <c r="O63" s="12"/>
      <c r="P63" s="8"/>
    </row>
    <row r="64" spans="1:16" ht="100.5" customHeight="1">
      <c r="A64" s="11"/>
      <c r="B64" s="6"/>
      <c r="C64" s="12"/>
      <c r="D64" s="12"/>
      <c r="E64" s="12"/>
      <c r="F64" s="12"/>
      <c r="G64" s="25"/>
      <c r="H64" s="25"/>
      <c r="I64" s="25"/>
      <c r="J64" s="25"/>
      <c r="K64" s="25"/>
      <c r="L64" s="25"/>
      <c r="M64" s="25"/>
      <c r="N64" s="26"/>
      <c r="O64" s="12"/>
      <c r="P64" s="27"/>
    </row>
    <row r="65" spans="1:16" ht="100.5" customHeight="1">
      <c r="A65" s="11"/>
      <c r="B65" s="6"/>
      <c r="C65" s="28"/>
      <c r="D65" s="5"/>
      <c r="E65" s="12"/>
      <c r="F65" s="12"/>
      <c r="G65" s="25"/>
      <c r="H65" s="25"/>
      <c r="I65" s="25"/>
      <c r="J65" s="25"/>
      <c r="K65" s="25"/>
      <c r="L65" s="25"/>
      <c r="M65" s="25"/>
      <c r="N65" s="26"/>
      <c r="O65" s="12"/>
      <c r="P65" s="27"/>
    </row>
    <row r="66" spans="1:16" ht="100.5" customHeight="1">
      <c r="A66" s="11"/>
      <c r="B66" s="12"/>
      <c r="C66" s="6"/>
      <c r="D66" s="12"/>
      <c r="E66" s="12"/>
      <c r="F66" s="12"/>
      <c r="G66" s="25"/>
      <c r="H66" s="25"/>
      <c r="I66" s="25"/>
      <c r="J66" s="25"/>
      <c r="K66" s="25"/>
      <c r="L66" s="25"/>
      <c r="M66" s="25"/>
      <c r="N66" s="26"/>
      <c r="O66" s="12"/>
      <c r="P66" s="8"/>
    </row>
    <row r="67" spans="1:16" ht="100.5" customHeight="1">
      <c r="A67" s="11"/>
      <c r="B67" s="12"/>
      <c r="C67" s="6"/>
      <c r="D67" s="12"/>
      <c r="E67" s="12"/>
      <c r="F67" s="12"/>
      <c r="G67" s="25"/>
      <c r="H67" s="25"/>
      <c r="I67" s="25"/>
      <c r="J67" s="25"/>
      <c r="K67" s="25"/>
      <c r="L67" s="25"/>
      <c r="M67" s="25"/>
      <c r="N67" s="26"/>
      <c r="O67" s="12"/>
      <c r="P67" s="8"/>
    </row>
    <row r="68" spans="1:16" ht="100.5" customHeight="1">
      <c r="A68" s="11"/>
      <c r="B68" s="30"/>
      <c r="C68" s="6"/>
      <c r="D68" s="12"/>
      <c r="E68" s="12"/>
      <c r="F68" s="12"/>
      <c r="G68" s="25"/>
      <c r="H68" s="25"/>
      <c r="I68" s="25"/>
      <c r="J68" s="25"/>
      <c r="K68" s="25"/>
      <c r="L68" s="25"/>
      <c r="M68" s="25"/>
      <c r="N68" s="26"/>
      <c r="O68" s="12"/>
      <c r="P68" s="99"/>
    </row>
    <row r="69" spans="1:16" ht="100.5" customHeight="1">
      <c r="A69" s="11"/>
      <c r="B69" s="30"/>
      <c r="C69" s="6"/>
      <c r="D69" s="12"/>
      <c r="E69" s="12"/>
      <c r="F69" s="12"/>
      <c r="G69" s="25"/>
      <c r="H69" s="25"/>
      <c r="I69" s="25"/>
      <c r="J69" s="25"/>
      <c r="K69" s="25"/>
      <c r="L69" s="25"/>
      <c r="M69" s="25"/>
      <c r="N69" s="26"/>
      <c r="O69" s="12"/>
      <c r="P69" s="110"/>
    </row>
    <row r="70" spans="1:16" ht="100.5" customHeight="1">
      <c r="A70" s="11"/>
      <c r="B70" s="12"/>
      <c r="C70" s="12"/>
      <c r="D70" s="12"/>
      <c r="E70" s="12"/>
      <c r="F70" s="12"/>
      <c r="G70" s="25"/>
      <c r="H70" s="25"/>
      <c r="I70" s="25"/>
      <c r="J70" s="25"/>
      <c r="K70" s="25"/>
      <c r="L70" s="25"/>
      <c r="M70" s="25"/>
      <c r="N70" s="26"/>
      <c r="O70" s="12"/>
      <c r="P70" s="99"/>
    </row>
    <row r="71" spans="1:16" ht="100.5" customHeight="1">
      <c r="A71" s="11"/>
      <c r="B71" s="30"/>
      <c r="C71" s="6"/>
      <c r="D71" s="12"/>
      <c r="E71" s="12"/>
      <c r="F71" s="12"/>
      <c r="G71" s="25"/>
      <c r="H71" s="25"/>
      <c r="I71" s="25"/>
      <c r="J71" s="25"/>
      <c r="K71" s="25"/>
      <c r="L71" s="25"/>
      <c r="M71" s="25"/>
      <c r="N71" s="26"/>
      <c r="O71" s="12"/>
      <c r="P71" s="100"/>
    </row>
    <row r="72" spans="1:16" ht="63.75" customHeight="1">
      <c r="A72" s="13"/>
      <c r="B72" s="14"/>
      <c r="C72" s="14"/>
      <c r="D72" s="14"/>
      <c r="E72" s="14"/>
      <c r="F72" s="15"/>
      <c r="G72" s="15"/>
      <c r="H72" s="93"/>
      <c r="I72" s="94"/>
      <c r="J72" s="94"/>
      <c r="K72" s="15"/>
      <c r="L72" s="93"/>
      <c r="M72" s="15"/>
      <c r="N72" s="93"/>
      <c r="O72" s="16"/>
      <c r="P72" s="7"/>
    </row>
    <row r="73" spans="1:16" ht="51.75" customHeight="1">
      <c r="A73" s="101" t="s">
        <v>9</v>
      </c>
      <c r="B73" s="102"/>
      <c r="C73" s="102"/>
      <c r="D73" s="102"/>
      <c r="E73" s="102"/>
      <c r="F73" s="103"/>
      <c r="G73" s="89"/>
      <c r="H73" s="12"/>
      <c r="I73" s="14"/>
      <c r="J73" s="14"/>
      <c r="K73" s="89"/>
      <c r="L73" s="89"/>
      <c r="M73" s="22"/>
      <c r="N73" s="17"/>
      <c r="O73" s="18"/>
      <c r="P73" s="7"/>
    </row>
    <row r="74" spans="1:16" ht="48.75" customHeight="1">
      <c r="A74" s="104"/>
      <c r="B74" s="105"/>
      <c r="C74" s="105"/>
      <c r="D74" s="105"/>
      <c r="E74" s="105"/>
      <c r="F74" s="106"/>
      <c r="G74" s="90"/>
      <c r="H74" s="12"/>
      <c r="I74" s="74"/>
      <c r="J74" s="74"/>
      <c r="K74" s="90"/>
      <c r="L74" s="90"/>
      <c r="M74" s="23"/>
      <c r="N74" s="19"/>
      <c r="O74" s="20"/>
      <c r="P74" s="21">
        <v>5.5300000000000002E-2</v>
      </c>
    </row>
    <row r="75" spans="1:16">
      <c r="N75" s="97"/>
    </row>
    <row r="76" spans="1:16">
      <c r="N76" s="98"/>
    </row>
    <row r="77" spans="1:16">
      <c r="N77" s="98"/>
    </row>
    <row r="78" spans="1:16">
      <c r="N78" s="98"/>
    </row>
    <row r="79" spans="1:16">
      <c r="N79" s="98"/>
    </row>
    <row r="83" spans="13:13">
      <c r="M83" s="96"/>
    </row>
  </sheetData>
  <autoFilter ref="A3:P74"/>
  <mergeCells count="15">
    <mergeCell ref="A1:P1"/>
    <mergeCell ref="P68:P69"/>
    <mergeCell ref="A2:A3"/>
    <mergeCell ref="B2:B3"/>
    <mergeCell ref="C2:C3"/>
    <mergeCell ref="D2:D3"/>
    <mergeCell ref="E2:E3"/>
    <mergeCell ref="F2:F3"/>
    <mergeCell ref="I2:J2"/>
    <mergeCell ref="N75:N79"/>
    <mergeCell ref="P70:P71"/>
    <mergeCell ref="A73:F74"/>
    <mergeCell ref="G2:H2"/>
    <mergeCell ref="M2:N2"/>
    <mergeCell ref="K2:L2"/>
  </mergeCells>
  <phoneticPr fontId="2" type="noConversion"/>
  <printOptions horizontalCentered="1" verticalCentered="1"/>
  <pageMargins left="0" right="0" top="0" bottom="0" header="0" footer="0"/>
  <pageSetup scale="2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showGridLines="0" zoomScale="55" zoomScaleNormal="55" zoomScaleSheetLayoutView="55" workbookViewId="0">
      <selection activeCell="H9" sqref="H9"/>
    </sheetView>
  </sheetViews>
  <sheetFormatPr defaultColWidth="9.109375" defaultRowHeight="21"/>
  <cols>
    <col min="1" max="1" width="13.33203125" style="2" customWidth="1"/>
    <col min="2" max="2" width="57.5546875" style="1" customWidth="1"/>
    <col min="3" max="3" width="24.5546875" style="1" customWidth="1"/>
    <col min="4" max="4" width="46.109375" style="3" customWidth="1"/>
    <col min="5" max="5" width="52.44140625" style="3" customWidth="1"/>
    <col min="6" max="6" width="24.44140625" style="3" customWidth="1"/>
    <col min="7" max="7" width="23.5546875" style="3" customWidth="1"/>
    <col min="8" max="8" width="35.88671875" style="4" customWidth="1"/>
    <col min="9" max="9" width="33.6640625" style="4" customWidth="1"/>
    <col min="10" max="10" width="41.33203125" style="4" bestFit="1" customWidth="1"/>
    <col min="11" max="16384" width="9.109375" style="1"/>
  </cols>
  <sheetData>
    <row r="1" spans="1:10" ht="39" customHeight="1">
      <c r="A1" s="113" t="s">
        <v>12</v>
      </c>
      <c r="B1" s="113"/>
      <c r="C1" s="113"/>
      <c r="D1" s="113"/>
      <c r="E1" s="113"/>
      <c r="F1" s="113"/>
      <c r="G1" s="35"/>
      <c r="H1" s="36"/>
      <c r="I1" s="36"/>
      <c r="J1" s="36"/>
    </row>
    <row r="2" spans="1:10" ht="74.25" customHeight="1">
      <c r="A2" s="114" t="s">
        <v>13</v>
      </c>
      <c r="B2" s="115"/>
      <c r="C2" s="115"/>
      <c r="D2" s="115"/>
      <c r="E2" s="37"/>
      <c r="F2" s="38"/>
      <c r="G2" s="38"/>
      <c r="H2" s="38"/>
      <c r="I2" s="38"/>
      <c r="J2" s="38"/>
    </row>
    <row r="3" spans="1:10" ht="81.75" customHeight="1">
      <c r="A3" s="109" t="s">
        <v>14</v>
      </c>
      <c r="B3" s="109"/>
      <c r="C3" s="109"/>
      <c r="D3" s="109"/>
      <c r="E3" s="109"/>
      <c r="F3" s="109"/>
      <c r="G3" s="109"/>
      <c r="H3" s="109"/>
      <c r="I3" s="109"/>
      <c r="J3" s="109"/>
    </row>
    <row r="4" spans="1:10" ht="99.75" customHeight="1">
      <c r="A4" s="9" t="s">
        <v>0</v>
      </c>
      <c r="B4" s="9" t="s">
        <v>1</v>
      </c>
      <c r="C4" s="9" t="s">
        <v>2</v>
      </c>
      <c r="D4" s="9" t="s">
        <v>3</v>
      </c>
      <c r="E4" s="9" t="s">
        <v>4</v>
      </c>
      <c r="F4" s="9" t="s">
        <v>10</v>
      </c>
      <c r="G4" s="39" t="s">
        <v>21</v>
      </c>
      <c r="H4" s="10" t="s">
        <v>22</v>
      </c>
      <c r="I4" s="10" t="s">
        <v>5</v>
      </c>
      <c r="J4" s="9" t="s">
        <v>6</v>
      </c>
    </row>
    <row r="5" spans="1:10" ht="99.75" customHeight="1">
      <c r="A5" s="42">
        <v>1</v>
      </c>
      <c r="B5" s="43" t="s">
        <v>26</v>
      </c>
      <c r="C5" s="43" t="s">
        <v>11</v>
      </c>
      <c r="D5" s="43" t="s">
        <v>27</v>
      </c>
      <c r="E5" s="43"/>
      <c r="F5" s="43">
        <v>1</v>
      </c>
      <c r="G5" s="41">
        <v>17000000</v>
      </c>
      <c r="H5" s="44">
        <f>G5*F5</f>
        <v>17000000</v>
      </c>
      <c r="I5" s="45" t="s">
        <v>28</v>
      </c>
      <c r="J5" s="46"/>
    </row>
    <row r="6" spans="1:10" ht="102.75" customHeight="1">
      <c r="A6" s="11">
        <v>2</v>
      </c>
      <c r="B6" s="12" t="s">
        <v>8</v>
      </c>
      <c r="C6" s="12" t="s">
        <v>7</v>
      </c>
      <c r="D6" s="12" t="s">
        <v>16</v>
      </c>
      <c r="E6" s="12"/>
      <c r="F6" s="12">
        <v>1</v>
      </c>
      <c r="G6" s="25">
        <v>1204477</v>
      </c>
      <c r="H6" s="26">
        <f>G6*F6</f>
        <v>1204477</v>
      </c>
      <c r="I6" s="8" t="s">
        <v>7</v>
      </c>
      <c r="J6" s="27"/>
    </row>
    <row r="7" spans="1:10" ht="102.75" customHeight="1">
      <c r="A7" s="9">
        <v>3</v>
      </c>
      <c r="B7" s="12" t="s">
        <v>8</v>
      </c>
      <c r="C7" s="12" t="s">
        <v>7</v>
      </c>
      <c r="D7" s="12" t="s">
        <v>15</v>
      </c>
      <c r="E7" s="12"/>
      <c r="F7" s="12">
        <v>1</v>
      </c>
      <c r="G7" s="25">
        <v>637201</v>
      </c>
      <c r="H7" s="26">
        <f>G7*F7</f>
        <v>637201</v>
      </c>
      <c r="I7" s="8" t="s">
        <v>7</v>
      </c>
      <c r="J7" s="27"/>
    </row>
    <row r="8" spans="1:10" ht="102.75" customHeight="1">
      <c r="A8" s="11">
        <v>4</v>
      </c>
      <c r="B8" s="12" t="s">
        <v>20</v>
      </c>
      <c r="C8" s="12" t="s">
        <v>7</v>
      </c>
      <c r="D8" s="12" t="s">
        <v>19</v>
      </c>
      <c r="E8" s="12"/>
      <c r="F8" s="12">
        <v>20</v>
      </c>
      <c r="G8" s="25">
        <v>20399</v>
      </c>
      <c r="H8" s="26">
        <f>G8*F8</f>
        <v>407980</v>
      </c>
      <c r="I8" s="8" t="s">
        <v>7</v>
      </c>
      <c r="J8" s="27"/>
    </row>
    <row r="9" spans="1:10" ht="51.75" customHeight="1">
      <c r="A9" s="101" t="s">
        <v>9</v>
      </c>
      <c r="B9" s="102"/>
      <c r="C9" s="102"/>
      <c r="D9" s="102"/>
      <c r="E9" s="102"/>
      <c r="F9" s="103"/>
      <c r="G9" s="22"/>
      <c r="H9" s="17">
        <f>SUM(H5:H8)</f>
        <v>19249658</v>
      </c>
      <c r="I9" s="18"/>
      <c r="J9" s="7"/>
    </row>
    <row r="10" spans="1:10" ht="48.75" customHeight="1">
      <c r="A10" s="104"/>
      <c r="B10" s="105"/>
      <c r="C10" s="105"/>
      <c r="D10" s="105"/>
      <c r="E10" s="105"/>
      <c r="F10" s="106"/>
      <c r="G10" s="23"/>
      <c r="H10" s="19">
        <f>H9*J10</f>
        <v>1043331.4636</v>
      </c>
      <c r="I10" s="20"/>
      <c r="J10" s="21">
        <v>5.4199999999999998E-2</v>
      </c>
    </row>
    <row r="11" spans="1:10">
      <c r="H11" s="116"/>
    </row>
    <row r="12" spans="1:10">
      <c r="H12" s="117"/>
    </row>
    <row r="13" spans="1:10">
      <c r="H13" s="117"/>
    </row>
    <row r="14" spans="1:10">
      <c r="H14" s="117"/>
    </row>
    <row r="15" spans="1:10">
      <c r="H15" s="117"/>
    </row>
    <row r="19" spans="7:7">
      <c r="G19" s="24"/>
    </row>
  </sheetData>
  <autoFilter ref="A4:J10"/>
  <mergeCells count="5">
    <mergeCell ref="A1:F1"/>
    <mergeCell ref="A2:D2"/>
    <mergeCell ref="A3:J3"/>
    <mergeCell ref="A9:F10"/>
    <mergeCell ref="H11:H15"/>
  </mergeCells>
  <printOptions horizontalCentered="1" verticalCentered="1"/>
  <pageMargins left="0" right="0" top="0" bottom="0" header="0" footer="0"/>
  <pageSetup scale="24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B1:J16"/>
  <sheetViews>
    <sheetView showGridLines="0" zoomScale="115" zoomScaleNormal="115" workbookViewId="0">
      <selection activeCell="G9" sqref="G9"/>
    </sheetView>
  </sheetViews>
  <sheetFormatPr defaultColWidth="9.109375" defaultRowHeight="14.4"/>
  <cols>
    <col min="1" max="1" width="1.5546875" style="47" customWidth="1"/>
    <col min="2" max="2" width="20.5546875" style="47" customWidth="1"/>
    <col min="3" max="3" width="19.88671875" style="47" customWidth="1"/>
    <col min="4" max="4" width="15.5546875" style="47" customWidth="1"/>
    <col min="5" max="6" width="15.109375" style="47" bestFit="1" customWidth="1"/>
    <col min="7" max="7" width="15.44140625" style="47" customWidth="1"/>
    <col min="8" max="8" width="17.33203125" style="47" customWidth="1"/>
    <col min="9" max="9" width="21.109375" style="47" customWidth="1"/>
    <col min="10" max="10" width="17.33203125" style="47" customWidth="1"/>
    <col min="11" max="11" width="17.109375" style="47" customWidth="1"/>
    <col min="12" max="12" width="14.6640625" style="47" customWidth="1"/>
    <col min="13" max="13" width="18.33203125" style="47" customWidth="1"/>
    <col min="14" max="14" width="15" style="47" customWidth="1"/>
    <col min="15" max="16384" width="9.109375" style="47"/>
  </cols>
  <sheetData>
    <row r="1" spans="2:10" ht="15" thickBot="1"/>
    <row r="2" spans="2:10" ht="44.25" customHeight="1" thickBot="1">
      <c r="B2" s="125" t="s">
        <v>49</v>
      </c>
      <c r="C2" s="126"/>
      <c r="D2" s="126"/>
      <c r="E2" s="126"/>
      <c r="F2" s="126"/>
      <c r="G2" s="127"/>
    </row>
    <row r="3" spans="2:10" ht="24.9" customHeight="1" thickTop="1">
      <c r="B3" s="128" t="s">
        <v>29</v>
      </c>
      <c r="C3" s="130" t="s">
        <v>30</v>
      </c>
      <c r="D3" s="132" t="s">
        <v>31</v>
      </c>
      <c r="E3" s="133"/>
      <c r="F3" s="133"/>
      <c r="G3" s="134"/>
    </row>
    <row r="4" spans="2:10" ht="24.9" customHeight="1">
      <c r="B4" s="129"/>
      <c r="C4" s="131"/>
      <c r="D4" s="48" t="s">
        <v>32</v>
      </c>
      <c r="E4" s="49" t="s">
        <v>33</v>
      </c>
      <c r="F4" s="50" t="s">
        <v>34</v>
      </c>
      <c r="G4" s="51" t="s">
        <v>35</v>
      </c>
    </row>
    <row r="5" spans="2:10" ht="24.9" customHeight="1">
      <c r="B5" s="52" t="s">
        <v>36</v>
      </c>
      <c r="C5" s="64" t="s">
        <v>37</v>
      </c>
      <c r="D5" s="65"/>
      <c r="E5" s="66">
        <v>181821300</v>
      </c>
      <c r="F5" s="66"/>
      <c r="G5" s="53"/>
    </row>
    <row r="6" spans="2:10" ht="24.9" customHeight="1">
      <c r="B6" s="135" t="s">
        <v>38</v>
      </c>
      <c r="C6" s="67" t="s">
        <v>39</v>
      </c>
      <c r="D6" s="57"/>
      <c r="E6" s="58">
        <v>2249658</v>
      </c>
      <c r="F6" s="76">
        <v>2249658</v>
      </c>
      <c r="G6" s="54"/>
      <c r="H6" s="55"/>
    </row>
    <row r="7" spans="2:10" ht="24.9" customHeight="1">
      <c r="B7" s="136"/>
      <c r="C7" s="56" t="s">
        <v>28</v>
      </c>
      <c r="D7" s="57"/>
      <c r="E7" s="58">
        <v>17000000</v>
      </c>
      <c r="F7" s="76">
        <v>17000000</v>
      </c>
      <c r="G7" s="54"/>
      <c r="H7" s="55"/>
      <c r="J7" s="71"/>
    </row>
    <row r="8" spans="2:10" ht="24.9" customHeight="1">
      <c r="B8" s="136"/>
      <c r="C8" s="56" t="s">
        <v>24</v>
      </c>
      <c r="D8" s="57"/>
      <c r="E8" s="58">
        <v>122391400</v>
      </c>
      <c r="F8" s="58"/>
      <c r="G8" s="54"/>
      <c r="H8" s="55"/>
    </row>
    <row r="9" spans="2:10" ht="24.9" customHeight="1">
      <c r="B9" s="137"/>
      <c r="C9" s="56" t="s">
        <v>25</v>
      </c>
      <c r="D9" s="57"/>
      <c r="E9" s="58">
        <v>118940000</v>
      </c>
      <c r="F9" s="76">
        <v>115132000</v>
      </c>
      <c r="G9" s="75">
        <f>(E9-F9)/E9</f>
        <v>3.2016142592903987E-2</v>
      </c>
      <c r="H9" s="55"/>
      <c r="J9" s="71"/>
    </row>
    <row r="10" spans="2:10" ht="24.9" customHeight="1">
      <c r="B10" s="52" t="s">
        <v>40</v>
      </c>
      <c r="C10" s="56" t="s">
        <v>41</v>
      </c>
      <c r="D10" s="57"/>
      <c r="E10" s="59"/>
      <c r="F10" s="60"/>
      <c r="G10" s="53"/>
    </row>
    <row r="11" spans="2:10" ht="24.9" customHeight="1">
      <c r="B11" s="61" t="s">
        <v>42</v>
      </c>
      <c r="C11" s="56" t="s">
        <v>43</v>
      </c>
      <c r="D11" s="57"/>
      <c r="E11" s="60"/>
      <c r="F11" s="60"/>
      <c r="G11" s="54"/>
      <c r="H11" s="62"/>
    </row>
    <row r="12" spans="2:10" ht="24.9" customHeight="1">
      <c r="B12" s="72"/>
      <c r="C12" s="56" t="s">
        <v>48</v>
      </c>
      <c r="D12" s="57"/>
      <c r="E12" s="60">
        <v>59543250</v>
      </c>
      <c r="F12" s="77">
        <v>59543250</v>
      </c>
      <c r="G12" s="75">
        <f>(E13-F12)/E13</f>
        <v>0.16594410981930241</v>
      </c>
      <c r="H12" s="62"/>
    </row>
    <row r="13" spans="2:10" ht="24.9" customHeight="1">
      <c r="B13" s="118"/>
      <c r="C13" s="63" t="s">
        <v>44</v>
      </c>
      <c r="D13" s="73"/>
      <c r="E13" s="60">
        <v>71390000</v>
      </c>
      <c r="F13" s="60"/>
      <c r="G13" s="53"/>
      <c r="H13" s="62"/>
    </row>
    <row r="14" spans="2:10" ht="24.9" customHeight="1">
      <c r="B14" s="118"/>
      <c r="C14" s="68" t="s">
        <v>45</v>
      </c>
      <c r="D14" s="57"/>
      <c r="E14" s="58"/>
      <c r="F14" s="58"/>
      <c r="G14" s="54"/>
    </row>
    <row r="15" spans="2:10" ht="24.9" customHeight="1">
      <c r="B15" s="119" t="s">
        <v>31</v>
      </c>
      <c r="C15" s="67" t="s">
        <v>46</v>
      </c>
      <c r="D15" s="121">
        <f>SUM(D5:D14)</f>
        <v>0</v>
      </c>
      <c r="E15" s="58">
        <f>E6+E7+E9+E13</f>
        <v>209579658</v>
      </c>
      <c r="F15" s="58">
        <f>SUM(F6:F12)</f>
        <v>193924908</v>
      </c>
      <c r="G15" s="123">
        <f>AVERAGE(G6:G13)</f>
        <v>9.8980126206103192E-2</v>
      </c>
    </row>
    <row r="16" spans="2:10" ht="23.25" customHeight="1" thickBot="1">
      <c r="B16" s="120"/>
      <c r="C16" s="69" t="s">
        <v>47</v>
      </c>
      <c r="D16" s="122"/>
      <c r="E16" s="70">
        <f>E15*0.0553</f>
        <v>11589755.087400001</v>
      </c>
      <c r="F16" s="70">
        <f>F15*0.0553</f>
        <v>10724047.4124</v>
      </c>
      <c r="G16" s="124"/>
    </row>
  </sheetData>
  <mergeCells count="9">
    <mergeCell ref="B13:B14"/>
    <mergeCell ref="B15:B16"/>
    <mergeCell ref="D15:D16"/>
    <mergeCell ref="G15:G16"/>
    <mergeCell ref="B2:G2"/>
    <mergeCell ref="B3:B4"/>
    <mergeCell ref="C3:C4"/>
    <mergeCell ref="D3:G3"/>
    <mergeCell ref="B6:B9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1"/>
  <sheetViews>
    <sheetView workbookViewId="0">
      <selection activeCell="F1" sqref="F1:F1048576"/>
    </sheetView>
  </sheetViews>
  <sheetFormatPr defaultRowHeight="14.4"/>
  <cols>
    <col min="2" max="8" width="18.44140625" customWidth="1"/>
  </cols>
  <sheetData>
    <row r="1" spans="2:8" ht="15" thickBot="1"/>
    <row r="2" spans="2:8" ht="25.8" thickBot="1">
      <c r="B2" s="146" t="s">
        <v>50</v>
      </c>
      <c r="C2" s="147"/>
      <c r="D2" s="147"/>
      <c r="E2" s="147"/>
      <c r="F2" s="147"/>
      <c r="G2" s="147"/>
      <c r="H2" s="148"/>
    </row>
    <row r="3" spans="2:8" ht="48" customHeight="1" thickBot="1">
      <c r="B3" s="138" t="s">
        <v>51</v>
      </c>
      <c r="C3" s="138" t="s">
        <v>52</v>
      </c>
      <c r="D3" s="149" t="s">
        <v>53</v>
      </c>
      <c r="E3" s="150"/>
      <c r="F3" s="150"/>
      <c r="G3" s="150"/>
      <c r="H3" s="151"/>
    </row>
    <row r="4" spans="2:8" ht="48" customHeight="1" thickBot="1">
      <c r="B4" s="139"/>
      <c r="C4" s="139"/>
      <c r="D4" s="79" t="s">
        <v>54</v>
      </c>
      <c r="E4" s="80" t="s">
        <v>55</v>
      </c>
      <c r="F4" s="79" t="s">
        <v>56</v>
      </c>
      <c r="G4" s="79" t="s">
        <v>57</v>
      </c>
      <c r="H4" s="81" t="s">
        <v>58</v>
      </c>
    </row>
    <row r="5" spans="2:8" ht="48" customHeight="1" thickBot="1">
      <c r="B5" s="79" t="s">
        <v>59</v>
      </c>
      <c r="C5" s="80" t="s">
        <v>60</v>
      </c>
      <c r="D5" s="82" t="s">
        <v>61</v>
      </c>
      <c r="E5" s="86">
        <v>118940000</v>
      </c>
      <c r="F5" s="86">
        <v>109962000</v>
      </c>
      <c r="G5" s="83">
        <f>(E5-F5)/E5</f>
        <v>7.548343702707247E-2</v>
      </c>
      <c r="H5" s="84"/>
    </row>
    <row r="6" spans="2:8" ht="48" customHeight="1" thickBot="1">
      <c r="B6" s="79" t="s">
        <v>62</v>
      </c>
      <c r="C6" s="80" t="s">
        <v>39</v>
      </c>
      <c r="D6" s="82" t="s">
        <v>63</v>
      </c>
      <c r="E6" s="86">
        <v>4214696</v>
      </c>
      <c r="F6" s="86">
        <v>4214696</v>
      </c>
      <c r="G6" s="82" t="s">
        <v>64</v>
      </c>
      <c r="H6" s="84"/>
    </row>
    <row r="7" spans="2:8" ht="48" customHeight="1" thickBot="1">
      <c r="B7" s="79" t="s">
        <v>40</v>
      </c>
      <c r="C7" s="82" t="s">
        <v>28</v>
      </c>
      <c r="D7" s="82" t="s">
        <v>65</v>
      </c>
      <c r="E7" s="87">
        <v>17000000</v>
      </c>
      <c r="F7" s="87">
        <v>17000000</v>
      </c>
      <c r="G7" s="82" t="s">
        <v>64</v>
      </c>
      <c r="H7" s="84"/>
    </row>
    <row r="8" spans="2:8" ht="48" customHeight="1">
      <c r="B8" s="138" t="s">
        <v>66</v>
      </c>
      <c r="C8" s="152" t="s">
        <v>48</v>
      </c>
      <c r="D8" s="140" t="s">
        <v>67</v>
      </c>
      <c r="E8" s="154">
        <v>71390000</v>
      </c>
      <c r="F8" s="154">
        <v>59543250</v>
      </c>
      <c r="G8" s="155">
        <f>(E8-F8)/E8</f>
        <v>0.16594410981930241</v>
      </c>
      <c r="H8" s="78" t="s">
        <v>68</v>
      </c>
    </row>
    <row r="9" spans="2:8" ht="48" customHeight="1" thickBot="1">
      <c r="B9" s="139"/>
      <c r="C9" s="153"/>
      <c r="D9" s="141"/>
      <c r="E9" s="141"/>
      <c r="F9" s="141"/>
      <c r="G9" s="156"/>
      <c r="H9" s="85" t="s">
        <v>69</v>
      </c>
    </row>
    <row r="10" spans="2:8" ht="48" customHeight="1" thickBot="1">
      <c r="B10" s="138" t="s">
        <v>70</v>
      </c>
      <c r="C10" s="79" t="s">
        <v>71</v>
      </c>
      <c r="D10" s="140" t="s">
        <v>72</v>
      </c>
      <c r="E10" s="86">
        <f>SUM(E5:E9)</f>
        <v>211544696</v>
      </c>
      <c r="F10" s="86">
        <f>SUM(F5:F9)</f>
        <v>190719946</v>
      </c>
      <c r="G10" s="142">
        <f>(E11-F11)/E11</f>
        <v>9.8441371463172875E-2</v>
      </c>
      <c r="H10" s="144"/>
    </row>
    <row r="11" spans="2:8" ht="48" customHeight="1" thickBot="1">
      <c r="B11" s="139"/>
      <c r="C11" s="79" t="s">
        <v>73</v>
      </c>
      <c r="D11" s="141"/>
      <c r="E11" s="86">
        <f>E10*0.0553</f>
        <v>11698421.6888</v>
      </c>
      <c r="F11" s="88">
        <f>F10*0.0553</f>
        <v>10546813.013800001</v>
      </c>
      <c r="G11" s="143"/>
      <c r="H11" s="145"/>
    </row>
  </sheetData>
  <mergeCells count="14">
    <mergeCell ref="B10:B11"/>
    <mergeCell ref="D10:D11"/>
    <mergeCell ref="G10:G11"/>
    <mergeCell ref="H10:H11"/>
    <mergeCell ref="B2:H2"/>
    <mergeCell ref="B3:B4"/>
    <mergeCell ref="C3:C4"/>
    <mergeCell ref="D3:H3"/>
    <mergeCell ref="B8:B9"/>
    <mergeCell ref="C8:C9"/>
    <mergeCell ref="D8:D9"/>
    <mergeCell ref="E8:E9"/>
    <mergeCell ref="F8:F9"/>
    <mergeCell ref="G8:G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BOM ALL</vt:lpstr>
      <vt:lpstr>MISUMI+ TOTRA</vt:lpstr>
      <vt:lpstr>총 비용(Tổng chi phí)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lee rd</dc:creator>
  <cp:lastModifiedBy>Nguyen Lam Long Trong</cp:lastModifiedBy>
  <dcterms:created xsi:type="dcterms:W3CDTF">2024-05-11T04:00:02Z</dcterms:created>
  <dcterms:modified xsi:type="dcterms:W3CDTF">2026-04-07T01:45:25Z</dcterms:modified>
</cp:coreProperties>
</file>